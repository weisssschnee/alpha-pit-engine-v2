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ae6e14d54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3f3581eaee45ad"/>
    <x:sheet xmlns:r="http://schemas.openxmlformats.org/officeDocument/2006/relationships" name="Field Registry" sheetId="2" r:id="R1876276be80a40c4"/>
    <x:sheet xmlns:r="http://schemas.openxmlformats.org/officeDocument/2006/relationships" name="Route Contracts" sheetId="3" r:id="Rf2e2fb0583aa4bd3"/>
    <x:sheet xmlns:r="http://schemas.openxmlformats.org/officeDocument/2006/relationships" name="Ledger Schema" sheetId="4" r:id="Re03a2593f84d4eaa"/>
    <x:sheet xmlns:r="http://schemas.openxmlformats.org/officeDocument/2006/relationships" name="Event Policy" sheetId="5" r:id="R0f73038034ab46ab"/>
    <x:sheet xmlns:r="http://schemas.openxmlformats.org/officeDocument/2006/relationships" name="Preflight" sheetId="6" r:id="Ra5da326c0cb84dc7"/>
    <x:sheet xmlns:r="http://schemas.openxmlformats.org/officeDocument/2006/relationships" name="Family Summary" sheetId="7" r:id="R3a3aaccdfb4b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00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052bf6dfe4a36" /><Relationship Type="http://schemas.openxmlformats.org/officeDocument/2006/relationships/theme" Target="/xl/theme/theme1.xml" Id="R2eec332d52a54227" /><Relationship Type="http://schemas.microsoft.com/office/2022/11/relationships/FeaturePropertyBag" Target="/xl/featurePropertyBag/featurePropertyBag.xml" Id="R06777cb211694b30" /><Relationship Type="http://schemas.openxmlformats.org/officeDocument/2006/relationships/sharedStrings" Target="/xl/sharedStrings.xml" Id="Re5d5aab5749a4882" /><Relationship Type="http://schemas.openxmlformats.org/officeDocument/2006/relationships/worksheet" Target="/xl/worksheets/sheet1.xml" Id="R9b3f3581eaee45ad" /><Relationship Type="http://schemas.openxmlformats.org/officeDocument/2006/relationships/worksheet" Target="/xl/worksheets/sheet2.xml" Id="R1876276be80a40c4" /><Relationship Type="http://schemas.openxmlformats.org/officeDocument/2006/relationships/worksheet" Target="/xl/worksheets/sheet3.xml" Id="Rf2e2fb0583aa4bd3" /><Relationship Type="http://schemas.openxmlformats.org/officeDocument/2006/relationships/worksheet" Target="/xl/worksheets/sheet4.xml" Id="Re03a2593f84d4eaa" /><Relationship Type="http://schemas.openxmlformats.org/officeDocument/2006/relationships/worksheet" Target="/xl/worksheets/sheet5.xml" Id="R0f73038034ab46ab" /><Relationship Type="http://schemas.openxmlformats.org/officeDocument/2006/relationships/worksheet" Target="/xl/worksheets/sheet6.xml" Id="Ra5da326c0cb84dc7" /><Relationship Type="http://schemas.openxmlformats.org/officeDocument/2006/relationships/worksheet" Target="/xl/worksheets/sheet7.xml" Id="R3a3aaccdfb4b4d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8268ec6c3742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Field exposure by source family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Fields</c:v>
          </c:tx>
          <c:cat>
            <c:strRef>
              <c:f>'Family Summary'!$A$2:$A$8</c:f>
              <c:strCache>
                <c:ptCount val="0"/>
              </c:strCache>
            </c:strRef>
          </c:cat>
          <c:val>
            <c:numRef>
              <c:f>'Family Summary'!$B$2:$B$8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Direct exposed</c:v>
          </c:tx>
          <c:cat>
            <c:strRef>
              <c:f>'Family Summary'!$A$2:$A$8</c:f>
              <c:strCache>
                <c:ptCount val="0"/>
              </c:strCache>
            </c:strRef>
          </c:cat>
          <c:val>
            <c:numRef>
              <c:f>'Family Summary'!$C$2:$C$8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8268ec6c3742f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eldRegistryTable" displayName="FieldRegistryTable" ref="A1:L60" headerRowCount="1">
  <x:tableColumns count="12">
    <x:tableColumn id="1" name="Field"/>
    <x:tableColumn id="2" name="Source family"/>
    <x:tableColumn id="3" name="Entity scope"/>
    <x:tableColumn id="4" name="Current Fabric role"/>
    <x:tableColumn id="5" name="Recommended routes"/>
    <x:tableColumn id="6" name="Main pool"/>
    <x:tableColumn id="7" name="Actual state consumed"/>
    <x:tableColumn id="8" name="Broad Event source"/>
    <x:tableColumn id="9" name="PIT status"/>
    <x:tableColumn id="10" name="Exposure status"/>
    <x:tableColumn id="11" name="Source field ID status"/>
    <x:tableColumn id="12" name="Provisional field ID"/>
  </x:tableColumns>
  <x:tableStyleInfo name="TableStyleMedium2" showRowStripes="1"/>
</x:table>
</file>

<file path=xl/tables/table2.xml><?xml version="1.0" encoding="utf-8"?>
<x:table xmlns:x="http://schemas.openxmlformats.org/spreadsheetml/2006/main" id="2" name="RouteContractsTable" displayName="RouteContractsTable" ref="A1:J9" headerRowCount="1">
  <x:tableColumns count="10">
    <x:tableColumn id="1" name="Route"/>
    <x:tableColumn id="2" name="Entity scopes"/>
    <x:tableColumn id="3" name="Temporal semantics"/>
    <x:tableColumn id="4" name="Allowed operators"/>
    <x:tableColumn id="5" name="Forbidden operators"/>
    <x:tableColumn id="6" name="Support unit"/>
    <x:tableColumn id="7" name="Maturity rule"/>
    <x:tableColumn id="8" name="Matched control"/>
    <x:tableColumn id="9" name="Identity unit"/>
    <x:tableColumn id="10" name="Current status"/>
  </x:tableColumns>
  <x:tableStyleInfo name="TableStyleMedium2" showRowStripes="1"/>
</x:table>
</file>

<file path=xl/tables/table3.xml><?xml version="1.0" encoding="utf-8"?>
<x:table xmlns:x="http://schemas.openxmlformats.org/spreadsheetml/2006/main" id="3" name="LedgerSchemaTable" displayName="LedgerSchemaTable" ref="A1:D53" headerRowCount="1">
  <x:tableColumns count="4">
    <x:tableColumn id="1" name="Table"/>
    <x:tableColumn id="2" name="Primary key"/>
    <x:tableColumn id="3" name="Column"/>
    <x:tableColumn id="4" name="Purpose"/>
  </x:tableColumns>
  <x:tableStyleInfo name="TableStyleMedium2" showRowStripes="1"/>
</x:table>
</file>

<file path=xl/tables/table4.xml><?xml version="1.0" encoding="utf-8"?>
<x:table xmlns:x="http://schemas.openxmlformats.org/spreadsheetml/2006/main" id="4" name="EventPolicyTable" displayName="EventPolicyTable" ref="A1:L12" headerRowCount="1">
  <x:tableColumns count="12">
    <x:tableColumn id="1" name="Mechanism"/>
    <x:tableColumn id="2" name="Source"/>
    <x:tableColumn id="3" name="Horizon"/>
    <x:tableColumn id="4" name="Support"/>
    <x:tableColumn id="5" name="Min increment"/>
    <x:tableColumn id="6" name="Max increment"/>
    <x:tableColumn id="7" name="Transform"/>
    <x:tableColumn id="8" name="Variant"/>
    <x:tableColumn id="9" name="Current tier"/>
    <x:tableColumn id="10" name="Next action"/>
    <x:tableColumn id="11" name="Descendant cap"/>
    <x:tableColumn id="12" name="Cross-source comparable"/>
  </x:tableColumns>
  <x:tableStyleInfo name="TableStyleMedium2" showRowStripes="1"/>
</x:table>
</file>

<file path=xl/tables/table5.xml><?xml version="1.0" encoding="utf-8"?>
<x:table xmlns:x="http://schemas.openxmlformats.org/spreadsheetml/2006/main" id="5" name="PreflightTable" displayName="PreflightTable" ref="A1:D7" headerRowCount="1">
  <x:tableColumns count="4">
    <x:tableColumn id="1" name="Gate"/>
    <x:tableColumn id="2" name="Pass conditions"/>
    <x:tableColumn id="3" name="Failure status"/>
    <x:tableColumn id="4" name="Execution"/>
  </x:tableColumns>
  <x:tableStyleInfo name="TableStyleMedium2" showRowStripes="1"/>
</x:table>
</file>

<file path=xl/tables/table6.xml><?xml version="1.0" encoding="utf-8"?>
<x:table xmlns:x="http://schemas.openxmlformats.org/spreadsheetml/2006/main" id="6" name="FamilySummaryTable" displayName="FamilySummaryTable" ref="A1:D8" headerRowCount="1">
  <x:tableColumns count="4">
    <x:tableColumn id="1" name="Source family"/>
    <x:tableColumn id="2" name="Fields"/>
    <x:tableColumn id="3" name="Direct exposed"/>
    <x:tableColumn id="4" name="Exposure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626615037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5b4443c5bc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6c77442ffc44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81b8b2f96247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f5fb2c797541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3da3e53ed7142a8" /><Relationship Type="http://schemas.openxmlformats.org/officeDocument/2006/relationships/table" Target="/xl/tables/table6.xml" Id="R918911552323428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9.200000762939453" hidden="0" customHeight="1">
      <x:c r="A1" s="42" t="str">
        <x:v>CN Unified Capability Architecture — Phase 2</x:v>
      </x:c>
      <x:c r="B1" s="42"/>
      <x:c r="C1" s="42"/>
      <x:c r="D1" s="42"/>
      <x:c r="E1" s="42"/>
      <x:c r="F1" s="42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15" hidden="0" customHeight="1">
      <x:c r="A3" s="44" t="str">
        <x:v>Metric</x:v>
      </x:c>
      <x:c r="B3" s="44" t="str">
        <x:v>Value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15" hidden="0" customHeight="1">
      <x:c r="A4" s="43" t="str">
        <x:v>Current lagged-context fields</x:v>
      </x:c>
      <x:c r="B4" s="43" t="n">
        <x:f>COUNTA('Field Registry'!A2:A1000)</x:f>
        <x:v>59</x:v>
      </x:c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15" hidden="0" customHeight="1">
      <x:c r="A5" s="43" t="str">
        <x:v>Directly exposed in main context pool</x:v>
      </x:c>
      <x:c r="B5" s="43" t="n">
        <x:f>COUNTIF('Field Registry'!J2:J1000,"DIRECT_CONTEXT_EXPOSED")</x:f>
        <x:v>12</x:v>
      </x:c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15" hidden="0" customHeight="1">
      <x:c r="A6" s="43" t="str">
        <x:v>Direct exposure rate</x:v>
      </x:c>
      <x:c r="B6" s="45" t="n">
        <x:f>IFERROR(B5/B4,0)</x:f>
        <x:v>0.2033898305084746</x:v>
      </x:c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15" hidden="0" customHeight="1">
      <x:c r="A7" s="43" t="str">
        <x:v>Declared context-state but not consumed</x:v>
      </x:c>
      <x:c r="B7" s="43" t="n">
        <x:f>COUNTIF('Field Registry'!J2:J1000,"DECLARED_STATE_BUT_NOT_CONSUMED")</x:f>
        <x:v>4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15" hidden="0" customHeight="1">
      <x:c r="A8" s="43" t="str">
        <x:v>Event mechanisms</x:v>
      </x:c>
      <x:c r="B8" s="43" t="n">
        <x:f>COUNTA('Event Policy'!A2:A100)</x:f>
        <x:v>11</x:v>
      </x:c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15" hidden="0" customHeight="1">
      <x:c r="A9" s="43" t="str">
        <x:v>Event Tier A</x:v>
      </x:c>
      <x:c r="B9" s="43" t="n">
        <x:f>COUNTIF('Event Policy'!I2:I100,"A_ORDER_OF_MAGNITUDE_PRIORITY")</x:f>
        <x:v>4</x:v>
      </x:c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5" hidden="0" customHeight="1">
      <x:c r="A10" s="43" t="str">
        <x:v>Event Tier B</x:v>
      </x:c>
      <x:c r="B10" s="43" t="n">
        <x:f>COUNTIF('Event Policy'!I2:I100,"B_MODERATE_EXPLORATORY")</x:f>
        <x:v>4</x:v>
      </x:c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5" hidden="0" customHeight="1">
      <x:c r="A12" s="44" t="str">
        <x:v>Current decision</x:v>
      </x:c>
      <x:c r="B12" s="44" t="str"/>
      <x:c r="C12" s="44" t="str"/>
      <x:c r="D12" s="44" t="str"/>
      <x:c r="E12" s="44" t="str"/>
      <x:c r="F12" s="44" t="str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15" hidden="0" customHeight="1">
      <x:c r="A13" s="46" t="str">
        <x:v>Registry status</x:v>
      </x:c>
      <x:c r="B13" s="47" t="str">
        <x:v>PROVISIONAL_PENDING_FUNDAMENTAL_SOURCE_UNIVERSE_JOIN</x:v>
      </x:c>
      <x:c r="C13" s="47" t="str"/>
      <x:c r="D13" s="47" t="str"/>
      <x:c r="E13" s="47" t="str"/>
      <x:c r="F13" s="47" t="str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5" hidden="0" customHeight="1">
      <x:c r="A14" s="46" t="str">
        <x:v>Preflight status</x:v>
      </x:c>
      <x:c r="B14" s="47" t="str">
        <x:v>DESIGN_READY_NOT_AUTHORIZED_TO_RUN</x:v>
      </x:c>
      <x:c r="C14" s="47" t="str"/>
      <x:c r="D14" s="47" t="str"/>
      <x:c r="E14" s="47" t="str"/>
      <x:c r="F14" s="47" t="str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5" hidden="0" customHeight="1">
      <x:c r="A15" s="46" t="str">
        <x:v>Next merge dependency</x:v>
      </x:c>
      <x:c r="B15" s="47" t="str">
        <x:v>Codex Fundamental source-universe stable field IDs</x:v>
      </x:c>
      <x:c r="C15" s="47" t="str"/>
      <x:c r="D15" s="47" t="str"/>
      <x:c r="E15" s="47" t="str"/>
      <x:c r="F15" s="47" t="str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5" hidden="0" customHeight="1">
      <x:c r="A16" s="46" t="str">
        <x:v>Performance authorization</x:v>
      </x:c>
      <x:c r="B16" s="47" t="str">
        <x:v>NOT AUTHORIZED</x:v>
      </x:c>
      <x:c r="C16" s="47" t="str"/>
      <x:c r="D16" s="47" t="str"/>
      <x:c r="E16" s="47" t="str"/>
      <x:c r="F16" s="47" t="str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5" hidden="0" customHeight="1">
      <x:c r="A18" s="44" t="str">
        <x:v>Evidence ladder</x:v>
      </x:c>
      <x:c r="B18" s="44" t="str">
        <x:v>Meaning</x:v>
      </x:c>
      <x:c r="C18" s="44" t="str"/>
      <x:c r="D18" s="44" t="str"/>
      <x:c r="E18" s="44" t="str"/>
      <x:c r="F18" s="44" t="str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46" t="str">
        <x:v>SEMANTICS_UNRESOLVED</x:v>
      </x:c>
      <x:c r="B19" s="43" t="str">
        <x:v>No valid economic/temporal interpretation</x:v>
      </x:c>
      <x:c r="C19" s="43" t="str"/>
      <x:c r="D19" s="43" t="str"/>
      <x:c r="E19" s="43" t="str"/>
      <x:c r="F19" s="43" t="str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6" t="str">
        <x:v>PIT_UNQUALIFIED</x:v>
      </x:c>
      <x:c r="B20" s="43" t="str">
        <x:v>Observable/revision policy unresolved</x:v>
      </x:c>
      <x:c r="C20" s="43" t="str"/>
      <x:c r="D20" s="43" t="str"/>
      <x:c r="E20" s="43" t="str"/>
      <x:c r="F20" s="43" t="str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6" t="str">
        <x:v>NOT_WIRED</x:v>
      </x:c>
      <x:c r="B21" s="43" t="str">
        <x:v>Qualified field not consumed by a typed route</x:v>
      </x:c>
      <x:c r="C21" s="43" t="str"/>
      <x:c r="D21" s="43" t="str"/>
      <x:c r="E21" s="43" t="str"/>
      <x:c r="F21" s="43" t="str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6" t="str">
        <x:v>NOT_EVALUATED</x:v>
      </x:c>
      <x:c r="B22" s="43" t="str">
        <x:v>No non-zero proposal/admission/strict execution</x:v>
      </x:c>
      <x:c r="C22" s="43" t="str"/>
      <x:c r="D22" s="43" t="str"/>
      <x:c r="E22" s="43" t="str"/>
      <x:c r="F22" s="43" t="str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6" t="str">
        <x:v>DEVELOPMENT_INCREMENT_OBSERVED</x:v>
      </x:c>
      <x:c r="B23" s="43" t="str">
        <x:v>Matched-control development evidence only</x:v>
      </x:c>
      <x:c r="C23" s="43" t="str"/>
      <x:c r="D23" s="43" t="str"/>
      <x:c r="E23" s="43" t="str"/>
      <x:c r="F23" s="43" t="str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>
      <x:c r="A1" s="44" t="str">
        <x:v>Field</x:v>
      </x:c>
      <x:c r="B1" s="44" t="str">
        <x:v>Source family</x:v>
      </x:c>
      <x:c r="C1" s="44" t="str">
        <x:v>Entity scope</x:v>
      </x:c>
      <x:c r="D1" s="44" t="str">
        <x:v>Current Fabric role</x:v>
      </x:c>
      <x:c r="E1" s="44" t="str">
        <x:v>Recommended routes</x:v>
      </x:c>
      <x:c r="F1" s="44" t="str">
        <x:v>Main pool</x:v>
      </x:c>
      <x:c r="G1" s="44" t="str">
        <x:v>Actual state consumed</x:v>
      </x:c>
      <x:c r="H1" s="44" t="str">
        <x:v>Broad Event source</x:v>
      </x:c>
      <x:c r="I1" s="44" t="str">
        <x:v>PIT status</x:v>
      </x:c>
      <x:c r="J1" s="44" t="str">
        <x:v>Exposure status</x:v>
      </x:c>
      <x:c r="K1" s="44" t="str">
        <x:v>Source field ID status</x:v>
      </x:c>
      <x:c r="L1" s="44" t="str">
        <x:v>Provisional field ID</x:v>
      </x:c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7" t="str">
        <x:v>ctx_ths_hot_rank</x:v>
      </x:c>
      <x:c r="B2" s="47" t="str">
        <x:v>hotness</x:v>
      </x:c>
      <x:c r="C2" s="47" t="str">
        <x:v>STOCK</x:v>
      </x:c>
      <x:c r="D2" s="47" t="str">
        <x:v>interaction-only</x:v>
      </x:c>
      <x:c r="E2" s="47" t="str">
        <x:v>SLOW_CROSS_SECTIONAL_LEVEL|SLOW_TEMPORAL_CHANGE|DISCLOSURE_EVENT|BROAD_EVENT_FROZEN_ENTRY</x:v>
      </x:c>
      <x:c r="F2" s="54" t="b">
        <x:v>1</x:v>
      </x:c>
      <x:c r="G2" s="54" t="b">
        <x:v>0</x:v>
      </x:c>
      <x:c r="H2" s="47" t="str">
        <x:v>HOTNESS_CHANGE</x:v>
      </x:c>
      <x:c r="I2" s="47" t="str">
        <x:v>CURRENT_RELEASE_PREVIOUS_SESSION_GUARD</x:v>
      </x:c>
      <x:c r="J2" s="47" t="str">
        <x:v>DIRECT_CONTEXT_EXPOSED</x:v>
      </x:c>
      <x:c r="K2" s="47" t="str">
        <x:v>PENDING_CODEX_SOURCE_UNIVERSE_JOIN</x:v>
      </x:c>
      <x:c r="L2" s="47" t="str">
        <x:v>active121::ctx_ths_hot_rank</x:v>
      </x:c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47" t="str">
        <x:v>ctx_ths_hot_rank_diff</x:v>
      </x:c>
      <x:c r="B3" s="47" t="str">
        <x:v>hotness</x:v>
      </x:c>
      <x:c r="C3" s="47" t="str">
        <x:v>STOCK</x:v>
      </x:c>
      <x:c r="D3" s="47" t="str">
        <x:v>interaction-only</x:v>
      </x:c>
      <x:c r="E3" s="47" t="str">
        <x:v>SLOW_CROSS_SECTIONAL_LEVEL|SLOW_TEMPORAL_CHANGE|DISCLOSURE_EVENT|BROAD_EVENT_FROZEN_ENTRY</x:v>
      </x:c>
      <x:c r="F3" s="54" t="b">
        <x:v>1</x:v>
      </x:c>
      <x:c r="G3" s="54" t="b">
        <x:v>0</x:v>
      </x:c>
      <x:c r="H3" s="47" t="str">
        <x:v>HOTNESS_CHANGE</x:v>
      </x:c>
      <x:c r="I3" s="47" t="str">
        <x:v>CURRENT_RELEASE_PREVIOUS_SESSION_GUARD</x:v>
      </x:c>
      <x:c r="J3" s="47" t="str">
        <x:v>DIRECT_CONTEXT_EXPOSED</x:v>
      </x:c>
      <x:c r="K3" s="47" t="str">
        <x:v>PENDING_CODEX_SOURCE_UNIVERSE_JOIN</x:v>
      </x:c>
      <x:c r="L3" s="47" t="str">
        <x:v>active121::ctx_ths_hot_rank_diff</x:v>
      </x:c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7" t="str">
        <x:v>ctx_ths_hot_last_pct</x:v>
      </x:c>
      <x:c r="B4" s="47" t="str">
        <x:v>hotness</x:v>
      </x:c>
      <x:c r="C4" s="47" t="str">
        <x:v>STOCK</x:v>
      </x:c>
      <x:c r="D4" s="47" t="str">
        <x:v>interaction-only</x:v>
      </x:c>
      <x:c r="E4" s="47" t="str">
        <x:v>SLOW_CROSS_SECTIONAL_LEVEL|SLOW_TEMPORAL_CHANGE|BROAD_EVENT_FROZEN_ENTRY</x:v>
      </x:c>
      <x:c r="F4" s="54" t="b">
        <x:v>0</x:v>
      </x:c>
      <x:c r="G4" s="54" t="b">
        <x:v>0</x:v>
      </x:c>
      <x:c r="H4" s="47" t="str">
        <x:v>HOTNESS_CHANGE</x:v>
      </x:c>
      <x:c r="I4" s="47" t="str">
        <x:v>CURRENT_RELEASE_PREVIOUS_SESSION_GUARD</x:v>
      </x:c>
      <x:c r="J4" s="47" t="str">
        <x:v>NOT_IN_MAIN_GENERATOR</x:v>
      </x:c>
      <x:c r="K4" s="47" t="str">
        <x:v>PENDING_CODEX_SOURCE_UNIVERSE_JOIN</x:v>
      </x:c>
      <x:c r="L4" s="47" t="str">
        <x:v>active121::ctx_ths_hot_last_pct</x:v>
      </x:c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7" t="str">
        <x:v>ctx_ths_hot_last_price</x:v>
      </x:c>
      <x:c r="B5" s="47" t="str">
        <x:v>hotness</x:v>
      </x:c>
      <x:c r="C5" s="47" t="str">
        <x:v>STOCK</x:v>
      </x:c>
      <x:c r="D5" s="47" t="str">
        <x:v>interaction-only</x:v>
      </x:c>
      <x:c r="E5" s="47" t="str">
        <x:v>SLOW_CROSS_SECTIONAL_LEVEL|SLOW_TEMPORAL_CHANGE|BROAD_EVENT_FROZEN_ENTRY</x:v>
      </x:c>
      <x:c r="F5" s="54" t="b">
        <x:v>0</x:v>
      </x:c>
      <x:c r="G5" s="54" t="b">
        <x:v>0</x:v>
      </x:c>
      <x:c r="H5" s="47" t="str">
        <x:v>HOTNESS_CHANGE</x:v>
      </x:c>
      <x:c r="I5" s="47" t="str">
        <x:v>CURRENT_RELEASE_PREVIOUS_SESSION_GUARD</x:v>
      </x:c>
      <x:c r="J5" s="47" t="str">
        <x:v>NOT_IN_MAIN_GENERATOR</x:v>
      </x:c>
      <x:c r="K5" s="47" t="str">
        <x:v>PENDING_CODEX_SOURCE_UNIVERSE_JOIN</x:v>
      </x:c>
      <x:c r="L5" s="47" t="str">
        <x:v>active121::ctx_ths_hot_last_price</x:v>
      </x:c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ctx_ths_hot_circulation_value</x:v>
      </x:c>
      <x:c r="B6" s="47" t="str">
        <x:v>hotness</x:v>
      </x:c>
      <x:c r="C6" s="47" t="str">
        <x:v>STOCK</x:v>
      </x:c>
      <x:c r="D6" s="47" t="str">
        <x:v>interaction-only</x:v>
      </x:c>
      <x:c r="E6" s="47" t="str">
        <x:v>SLOW_CROSS_SECTIONAL_LEVEL|SLOW_TEMPORAL_CHANGE|BROAD_EVENT_FROZEN_ENTRY</x:v>
      </x:c>
      <x:c r="F6" s="54" t="b">
        <x:v>0</x:v>
      </x:c>
      <x:c r="G6" s="54" t="b">
        <x:v>0</x:v>
      </x:c>
      <x:c r="H6" s="47" t="str">
        <x:v>HOTNESS_CHANGE</x:v>
      </x:c>
      <x:c r="I6" s="47" t="str">
        <x:v>CURRENT_RELEASE_PREVIOUS_SESSION_GUARD</x:v>
      </x:c>
      <x:c r="J6" s="47" t="str">
        <x:v>NOT_IN_MAIN_GENERATOR</x:v>
      </x:c>
      <x:c r="K6" s="47" t="str">
        <x:v>PENDING_CODEX_SOURCE_UNIVERSE_JOIN</x:v>
      </x:c>
      <x:c r="L6" s="47" t="str">
        <x:v>active121::ctx_ths_hot_circulation_value</x:v>
      </x:c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ctx_rzrq_rzye</x:v>
      </x:c>
      <x:c r="B7" s="47" t="str">
        <x:v>margin_financing</x:v>
      </x:c>
      <x:c r="C7" s="47" t="str">
        <x:v>STOCK</x:v>
      </x:c>
      <x:c r="D7" s="47" t="str">
        <x:v>interaction-only</x:v>
      </x:c>
      <x:c r="E7" s="47" t="str">
        <x:v>SLOW_CROSS_SECTIONAL_LEVEL|SLOW_TEMPORAL_CHANGE|DISCLOSURE_EVENT|BROAD_EVENT_FROZEN_ENTRY</x:v>
      </x:c>
      <x:c r="F7" s="54" t="b">
        <x:v>1</x:v>
      </x:c>
      <x:c r="G7" s="54" t="b">
        <x:v>0</x:v>
      </x:c>
      <x:c r="H7" s="47" t="str">
        <x:v>MARGIN_FINANCING_CHANGE</x:v>
      </x:c>
      <x:c r="I7" s="47" t="str">
        <x:v>CURRENT_RELEASE_PREVIOUS_SESSION_GUARD</x:v>
      </x:c>
      <x:c r="J7" s="47" t="str">
        <x:v>DIRECT_CONTEXT_EXPOSED</x:v>
      </x:c>
      <x:c r="K7" s="47" t="str">
        <x:v>PENDING_CODEX_SOURCE_UNIVERSE_JOIN</x:v>
      </x:c>
      <x:c r="L7" s="47" t="str">
        <x:v>active121::ctx_rzrq_rzye</x:v>
      </x:c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ctx_rzrq_rqye</x:v>
      </x:c>
      <x:c r="B8" s="47" t="str">
        <x:v>margin_financing</x:v>
      </x:c>
      <x:c r="C8" s="47" t="str">
        <x:v>STOCK</x:v>
      </x:c>
      <x:c r="D8" s="47" t="str">
        <x:v>interaction-only</x:v>
      </x:c>
      <x:c r="E8" s="47" t="str">
        <x:v>SLOW_CROSS_SECTIONAL_LEVEL|SLOW_TEMPORAL_CHANGE|DISCLOSURE_EVENT|BROAD_EVENT_FROZEN_ENTRY</x:v>
      </x:c>
      <x:c r="F8" s="54" t="b">
        <x:v>0</x:v>
      </x:c>
      <x:c r="G8" s="54" t="b">
        <x:v>0</x:v>
      </x:c>
      <x:c r="H8" s="47" t="str">
        <x:v>MARGIN_FINANCING_CHANGE</x:v>
      </x:c>
      <x:c r="I8" s="47" t="str">
        <x:v>CURRENT_RELEASE_PREVIOUS_SESSION_GUARD</x:v>
      </x:c>
      <x:c r="J8" s="47" t="str">
        <x:v>NOT_IN_MAIN_GENERATOR</x:v>
      </x:c>
      <x:c r="K8" s="47" t="str">
        <x:v>PENDING_CODEX_SOURCE_UNIVERSE_JOIN</x:v>
      </x:c>
      <x:c r="L8" s="47" t="str">
        <x:v>active121::ctx_rzrq_rqye</x:v>
      </x:c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ctx_rzrq_rzrqye</x:v>
      </x:c>
      <x:c r="B9" s="47" t="str">
        <x:v>margin_financing</x:v>
      </x:c>
      <x:c r="C9" s="47" t="str">
        <x:v>STOCK</x:v>
      </x:c>
      <x:c r="D9" s="47" t="str">
        <x:v>interaction-only</x:v>
      </x:c>
      <x:c r="E9" s="47" t="str">
        <x:v>SLOW_CROSS_SECTIONAL_LEVEL|SLOW_TEMPORAL_CHANGE|DISCLOSURE_EVENT|BROAD_EVENT_FROZEN_ENTRY</x:v>
      </x:c>
      <x:c r="F9" s="54" t="b">
        <x:v>0</x:v>
      </x:c>
      <x:c r="G9" s="54" t="b">
        <x:v>0</x:v>
      </x:c>
      <x:c r="H9" s="47" t="str">
        <x:v>MARGIN_FINANCING_CHANGE</x:v>
      </x:c>
      <x:c r="I9" s="47" t="str">
        <x:v>CURRENT_RELEASE_PREVIOUS_SESSION_GUARD</x:v>
      </x:c>
      <x:c r="J9" s="47" t="str">
        <x:v>NOT_IN_MAIN_GENERATOR</x:v>
      </x:c>
      <x:c r="K9" s="47" t="str">
        <x:v>PENDING_CODEX_SOURCE_UNIVERSE_JOIN</x:v>
      </x:c>
      <x:c r="L9" s="47" t="str">
        <x:v>active121::ctx_rzrq_rzrqye</x:v>
      </x:c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ctx_rzrq_rzyezb</x:v>
      </x:c>
      <x:c r="B10" s="47" t="str">
        <x:v>margin_financing</x:v>
      </x:c>
      <x:c r="C10" s="47" t="str">
        <x:v>STOCK</x:v>
      </x:c>
      <x:c r="D10" s="47" t="str">
        <x:v>interaction-only</x:v>
      </x:c>
      <x:c r="E10" s="47" t="str">
        <x:v>SLOW_CROSS_SECTIONAL_LEVEL|SLOW_TEMPORAL_CHANGE|DISCLOSURE_EVENT|BROAD_EVENT_FROZEN_ENTRY</x:v>
      </x:c>
      <x:c r="F10" s="54" t="b">
        <x:v>0</x:v>
      </x:c>
      <x:c r="G10" s="54" t="b">
        <x:v>0</x:v>
      </x:c>
      <x:c r="H10" s="47" t="str">
        <x:v>MARGIN_FINANCING_CHANGE</x:v>
      </x:c>
      <x:c r="I10" s="47" t="str">
        <x:v>CURRENT_RELEASE_PREVIOUS_SESSION_GUARD</x:v>
      </x:c>
      <x:c r="J10" s="47" t="str">
        <x:v>NOT_IN_MAIN_GENERATOR</x:v>
      </x:c>
      <x:c r="K10" s="47" t="str">
        <x:v>PENDING_CODEX_SOURCE_UNIVERSE_JOIN</x:v>
      </x:c>
      <x:c r="L10" s="47" t="str">
        <x:v>active121::ctx_rzrq_rzyezb</x:v>
      </x:c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ctx_rzrq_rzmre</x:v>
      </x:c>
      <x:c r="B11" s="47" t="str">
        <x:v>margin_financing</x:v>
      </x:c>
      <x:c r="C11" s="47" t="str">
        <x:v>STOCK</x:v>
      </x:c>
      <x:c r="D11" s="47" t="str">
        <x:v>interaction-only</x:v>
      </x:c>
      <x:c r="E11" s="47" t="str">
        <x:v>SLOW_CROSS_SECTIONAL_LEVEL|SLOW_TEMPORAL_CHANGE|DISCLOSURE_EVENT|BROAD_EVENT_FROZEN_ENTRY</x:v>
      </x:c>
      <x:c r="F11" s="54" t="b">
        <x:v>0</x:v>
      </x:c>
      <x:c r="G11" s="54" t="b">
        <x:v>0</x:v>
      </x:c>
      <x:c r="H11" s="47" t="str">
        <x:v>MARGIN_FINANCING_CHANGE</x:v>
      </x:c>
      <x:c r="I11" s="47" t="str">
        <x:v>CURRENT_RELEASE_PREVIOUS_SESSION_GUARD</x:v>
      </x:c>
      <x:c r="J11" s="47" t="str">
        <x:v>NOT_IN_MAIN_GENERATOR</x:v>
      </x:c>
      <x:c r="K11" s="47" t="str">
        <x:v>PENDING_CODEX_SOURCE_UNIVERSE_JOIN</x:v>
      </x:c>
      <x:c r="L11" s="47" t="str">
        <x:v>active121::ctx_rzrq_rzmre</x:v>
      </x:c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ctx_rzrq_rzche</x:v>
      </x:c>
      <x:c r="B12" s="47" t="str">
        <x:v>margin_financing</x:v>
      </x:c>
      <x:c r="C12" s="47" t="str">
        <x:v>STOCK</x:v>
      </x:c>
      <x:c r="D12" s="47" t="str">
        <x:v>interaction-only</x:v>
      </x:c>
      <x:c r="E12" s="47" t="str">
        <x:v>SLOW_CROSS_SECTIONAL_LEVEL|SLOW_TEMPORAL_CHANGE|DISCLOSURE_EVENT|BROAD_EVENT_FROZEN_ENTRY</x:v>
      </x:c>
      <x:c r="F12" s="54" t="b">
        <x:v>0</x:v>
      </x:c>
      <x:c r="G12" s="54" t="b">
        <x:v>0</x:v>
      </x:c>
      <x:c r="H12" s="47" t="str">
        <x:v>MARGIN_FINANCING_CHANGE</x:v>
      </x:c>
      <x:c r="I12" s="47" t="str">
        <x:v>CURRENT_RELEASE_PREVIOUS_SESSION_GUARD</x:v>
      </x:c>
      <x:c r="J12" s="47" t="str">
        <x:v>NOT_IN_MAIN_GENERATOR</x:v>
      </x:c>
      <x:c r="K12" s="47" t="str">
        <x:v>PENDING_CODEX_SOURCE_UNIVERSE_JOIN</x:v>
      </x:c>
      <x:c r="L12" s="47" t="str">
        <x:v>active121::ctx_rzrq_rzche</x:v>
      </x:c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7" t="str">
        <x:v>ctx_rzrq_rzjme</x:v>
      </x:c>
      <x:c r="B13" s="47" t="str">
        <x:v>margin_financing</x:v>
      </x:c>
      <x:c r="C13" s="47" t="str">
        <x:v>STOCK</x:v>
      </x:c>
      <x:c r="D13" s="47" t="str">
        <x:v>interaction-only</x:v>
      </x:c>
      <x:c r="E13" s="47" t="str">
        <x:v>SLOW_CROSS_SECTIONAL_LEVEL|SLOW_TEMPORAL_CHANGE|DISCLOSURE_EVENT|BROAD_EVENT_FROZEN_ENTRY</x:v>
      </x:c>
      <x:c r="F13" s="54" t="b">
        <x:v>1</x:v>
      </x:c>
      <x:c r="G13" s="54" t="b">
        <x:v>0</x:v>
      </x:c>
      <x:c r="H13" s="47" t="str">
        <x:v>MARGIN_FINANCING_CHANGE</x:v>
      </x:c>
      <x:c r="I13" s="47" t="str">
        <x:v>CURRENT_RELEASE_PREVIOUS_SESSION_GUARD</x:v>
      </x:c>
      <x:c r="J13" s="47" t="str">
        <x:v>DIRECT_CONTEXT_EXPOSED</x:v>
      </x:c>
      <x:c r="K13" s="47" t="str">
        <x:v>PENDING_CODEX_SOURCE_UNIVERSE_JOIN</x:v>
      </x:c>
      <x:c r="L13" s="47" t="str">
        <x:v>active121::ctx_rzrq_rzjme</x:v>
      </x:c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7" t="str">
        <x:v>ctx_rzrq_rqyl</x:v>
      </x:c>
      <x:c r="B14" s="47" t="str">
        <x:v>margin_financing</x:v>
      </x:c>
      <x:c r="C14" s="47" t="str">
        <x:v>STOCK</x:v>
      </x:c>
      <x:c r="D14" s="47" t="str">
        <x:v>interaction-only</x:v>
      </x:c>
      <x:c r="E14" s="47" t="str">
        <x:v>SLOW_CROSS_SECTIONAL_LEVEL|SLOW_TEMPORAL_CHANGE|DISCLOSURE_EVENT|BROAD_EVENT_FROZEN_ENTRY</x:v>
      </x:c>
      <x:c r="F14" s="54" t="b">
        <x:v>0</x:v>
      </x:c>
      <x:c r="G14" s="54" t="b">
        <x:v>0</x:v>
      </x:c>
      <x:c r="H14" s="47" t="str">
        <x:v>MARGIN_FINANCING_CHANGE</x:v>
      </x:c>
      <x:c r="I14" s="47" t="str">
        <x:v>CURRENT_RELEASE_PREVIOUS_SESSION_GUARD</x:v>
      </x:c>
      <x:c r="J14" s="47" t="str">
        <x:v>NOT_IN_MAIN_GENERATOR</x:v>
      </x:c>
      <x:c r="K14" s="47" t="str">
        <x:v>PENDING_CODEX_SOURCE_UNIVERSE_JOIN</x:v>
      </x:c>
      <x:c r="L14" s="47" t="str">
        <x:v>active121::ctx_rzrq_rqyl</x:v>
      </x:c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7" t="str">
        <x:v>ctx_billboard_deal_amount_ratio</x:v>
      </x:c>
      <x:c r="B15" s="47" t="str">
        <x:v>billboard</x:v>
      </x:c>
      <x:c r="C15" s="47" t="str">
        <x:v>STOCK</x:v>
      </x:c>
      <x:c r="D15" s="47" t="str">
        <x:v>interaction-only</x:v>
      </x:c>
      <x:c r="E15" s="47" t="str">
        <x:v>LATCHED_CONTEXT|SLOW_TEMPORAL_CHANGE|DISCLOSURE_EVENT|BROAD_EVENT_FROZEN_ENTRY</x:v>
      </x:c>
      <x:c r="F15" s="54" t="b">
        <x:v>0</x:v>
      </x:c>
      <x:c r="G15" s="54" t="b">
        <x:v>0</x:v>
      </x:c>
      <x:c r="H15" s="47" t="str">
        <x:v>BILLBOARD_CHANGE</x:v>
      </x:c>
      <x:c r="I15" s="47" t="str">
        <x:v>CURRENT_RELEASE_PREVIOUS_SESSION_GUARD</x:v>
      </x:c>
      <x:c r="J15" s="47" t="str">
        <x:v>NOT_IN_MAIN_GENERATOR</x:v>
      </x:c>
      <x:c r="K15" s="47" t="str">
        <x:v>PENDING_CODEX_SOURCE_UNIVERSE_JOIN</x:v>
      </x:c>
      <x:c r="L15" s="47" t="str">
        <x:v>active121::ctx_billboard_deal_amount_ratio</x:v>
      </x:c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7" t="str">
        <x:v>ctx_billboard_billboard_deal_amt</x:v>
      </x:c>
      <x:c r="B16" s="47" t="str">
        <x:v>billboard</x:v>
      </x:c>
      <x:c r="C16" s="47" t="str">
        <x:v>STOCK</x:v>
      </x:c>
      <x:c r="D16" s="47" t="str">
        <x:v>interaction-only</x:v>
      </x:c>
      <x:c r="E16" s="47" t="str">
        <x:v>LATCHED_CONTEXT|SLOW_TEMPORAL_CHANGE|DISCLOSURE_EVENT|BROAD_EVENT_FROZEN_ENTRY</x:v>
      </x:c>
      <x:c r="F16" s="54" t="b">
        <x:v>0</x:v>
      </x:c>
      <x:c r="G16" s="54" t="b">
        <x:v>0</x:v>
      </x:c>
      <x:c r="H16" s="47" t="str">
        <x:v>BILLBOARD_CHANGE</x:v>
      </x:c>
      <x:c r="I16" s="47" t="str">
        <x:v>CURRENT_RELEASE_PREVIOUS_SESSION_GUARD</x:v>
      </x:c>
      <x:c r="J16" s="47" t="str">
        <x:v>NOT_IN_MAIN_GENERATOR</x:v>
      </x:c>
      <x:c r="K16" s="47" t="str">
        <x:v>PENDING_CODEX_SOURCE_UNIVERSE_JOIN</x:v>
      </x:c>
      <x:c r="L16" s="47" t="str">
        <x:v>active121::ctx_billboard_billboard_deal_amt</x:v>
      </x:c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7" t="str">
        <x:v>ctx_billboard_billboard_net_amt</x:v>
      </x:c>
      <x:c r="B17" s="47" t="str">
        <x:v>billboard</x:v>
      </x:c>
      <x:c r="C17" s="47" t="str">
        <x:v>STOCK</x:v>
      </x:c>
      <x:c r="D17" s="47" t="str">
        <x:v>interaction-only</x:v>
      </x:c>
      <x:c r="E17" s="47" t="str">
        <x:v>LATCHED_CONTEXT|SLOW_TEMPORAL_CHANGE|DISCLOSURE_EVENT|BROAD_EVENT_FROZEN_ENTRY</x:v>
      </x:c>
      <x:c r="F17" s="54" t="b">
        <x:v>0</x:v>
      </x:c>
      <x:c r="G17" s="54" t="b">
        <x:v>0</x:v>
      </x:c>
      <x:c r="H17" s="47" t="str">
        <x:v>BILLBOARD_CHANGE</x:v>
      </x:c>
      <x:c r="I17" s="47" t="str">
        <x:v>CURRENT_RELEASE_PREVIOUS_SESSION_GUARD</x:v>
      </x:c>
      <x:c r="J17" s="47" t="str">
        <x:v>NOT_IN_MAIN_GENERATOR</x:v>
      </x:c>
      <x:c r="K17" s="47" t="str">
        <x:v>PENDING_CODEX_SOURCE_UNIVERSE_JOIN</x:v>
      </x:c>
      <x:c r="L17" s="47" t="str">
        <x:v>active121::ctx_billboard_billboard_net_amt</x:v>
      </x:c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7" t="str">
        <x:v>ctx_billboard_billboard_buy_amt</x:v>
      </x:c>
      <x:c r="B18" s="47" t="str">
        <x:v>billboard</x:v>
      </x:c>
      <x:c r="C18" s="47" t="str">
        <x:v>STOCK</x:v>
      </x:c>
      <x:c r="D18" s="47" t="str">
        <x:v>interaction-only</x:v>
      </x:c>
      <x:c r="E18" s="47" t="str">
        <x:v>LATCHED_CONTEXT|SLOW_TEMPORAL_CHANGE|DISCLOSURE_EVENT|BROAD_EVENT_FROZEN_ENTRY</x:v>
      </x:c>
      <x:c r="F18" s="54" t="b">
        <x:v>0</x:v>
      </x:c>
      <x:c r="G18" s="54" t="b">
        <x:v>0</x:v>
      </x:c>
      <x:c r="H18" s="47" t="str">
        <x:v>BILLBOARD_CHANGE</x:v>
      </x:c>
      <x:c r="I18" s="47" t="str">
        <x:v>CURRENT_RELEASE_PREVIOUS_SESSION_GUARD</x:v>
      </x:c>
      <x:c r="J18" s="47" t="str">
        <x:v>NOT_IN_MAIN_GENERATOR</x:v>
      </x:c>
      <x:c r="K18" s="47" t="str">
        <x:v>PENDING_CODEX_SOURCE_UNIVERSE_JOIN</x:v>
      </x:c>
      <x:c r="L18" s="47" t="str">
        <x:v>active121::ctx_billboard_billboard_buy_amt</x:v>
      </x:c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7" t="str">
        <x:v>ctx_billboard_billboard_sell_amt</x:v>
      </x:c>
      <x:c r="B19" s="47" t="str">
        <x:v>billboard</x:v>
      </x:c>
      <x:c r="C19" s="47" t="str">
        <x:v>STOCK</x:v>
      </x:c>
      <x:c r="D19" s="47" t="str">
        <x:v>interaction-only</x:v>
      </x:c>
      <x:c r="E19" s="47" t="str">
        <x:v>LATCHED_CONTEXT|SLOW_TEMPORAL_CHANGE|DISCLOSURE_EVENT|BROAD_EVENT_FROZEN_ENTRY</x:v>
      </x:c>
      <x:c r="F19" s="54" t="b">
        <x:v>0</x:v>
      </x:c>
      <x:c r="G19" s="54" t="b">
        <x:v>0</x:v>
      </x:c>
      <x:c r="H19" s="47" t="str">
        <x:v>BILLBOARD_CHANGE</x:v>
      </x:c>
      <x:c r="I19" s="47" t="str">
        <x:v>CURRENT_RELEASE_PREVIOUS_SESSION_GUARD</x:v>
      </x:c>
      <x:c r="J19" s="47" t="str">
        <x:v>NOT_IN_MAIN_GENERATOR</x:v>
      </x:c>
      <x:c r="K19" s="47" t="str">
        <x:v>PENDING_CODEX_SOURCE_UNIVERSE_JOIN</x:v>
      </x:c>
      <x:c r="L19" s="47" t="str">
        <x:v>active121::ctx_billboard_billboard_sell_amt</x:v>
      </x:c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7" t="str">
        <x:v>ctx_billboard_deal_net_ratio</x:v>
      </x:c>
      <x:c r="B20" s="47" t="str">
        <x:v>billboard</x:v>
      </x:c>
      <x:c r="C20" s="47" t="str">
        <x:v>STOCK</x:v>
      </x:c>
      <x:c r="D20" s="47" t="str">
        <x:v>interaction-only</x:v>
      </x:c>
      <x:c r="E20" s="47" t="str">
        <x:v>LATCHED_CONTEXT|SLOW_TEMPORAL_CHANGE|DISCLOSURE_EVENT|BROAD_EVENT_FROZEN_ENTRY</x:v>
      </x:c>
      <x:c r="F20" s="54" t="b">
        <x:v>1</x:v>
      </x:c>
      <x:c r="G20" s="54" t="b">
        <x:v>0</x:v>
      </x:c>
      <x:c r="H20" s="47" t="str">
        <x:v>BILLBOARD_CHANGE</x:v>
      </x:c>
      <x:c r="I20" s="47" t="str">
        <x:v>CURRENT_RELEASE_PREVIOUS_SESSION_GUARD</x:v>
      </x:c>
      <x:c r="J20" s="47" t="str">
        <x:v>DIRECT_CONTEXT_EXPOSED</x:v>
      </x:c>
      <x:c r="K20" s="47" t="str">
        <x:v>PENDING_CODEX_SOURCE_UNIVERSE_JOIN</x:v>
      </x:c>
      <x:c r="L20" s="47" t="str">
        <x:v>active121::ctx_billboard_deal_net_ratio</x:v>
      </x:c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7" t="str">
        <x:v>ctx_billboard_accum_amount</x:v>
      </x:c>
      <x:c r="B21" s="47" t="str">
        <x:v>billboard</x:v>
      </x:c>
      <x:c r="C21" s="47" t="str">
        <x:v>STOCK</x:v>
      </x:c>
      <x:c r="D21" s="47" t="str">
        <x:v>interaction-only</x:v>
      </x:c>
      <x:c r="E21" s="47" t="str">
        <x:v>LATCHED_CONTEXT|SLOW_TEMPORAL_CHANGE|DISCLOSURE_EVENT|BROAD_EVENT_FROZEN_ENTRY</x:v>
      </x:c>
      <x:c r="F21" s="54" t="b">
        <x:v>0</x:v>
      </x:c>
      <x:c r="G21" s="54" t="b">
        <x:v>0</x:v>
      </x:c>
      <x:c r="H21" s="47" t="str">
        <x:v>BILLBOARD_CHANGE</x:v>
      </x:c>
      <x:c r="I21" s="47" t="str">
        <x:v>CURRENT_RELEASE_PREVIOUS_SESSION_GUARD</x:v>
      </x:c>
      <x:c r="J21" s="47" t="str">
        <x:v>NOT_IN_MAIN_GENERATOR</x:v>
      </x:c>
      <x:c r="K21" s="47" t="str">
        <x:v>PENDING_CODEX_SOURCE_UNIVERSE_JOIN</x:v>
      </x:c>
      <x:c r="L21" s="47" t="str">
        <x:v>active121::ctx_billboard_accum_amount</x:v>
      </x:c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7" t="str">
        <x:v>ctx_billboard_turnoverrate</x:v>
      </x:c>
      <x:c r="B22" s="47" t="str">
        <x:v>billboard</x:v>
      </x:c>
      <x:c r="C22" s="47" t="str">
        <x:v>STOCK</x:v>
      </x:c>
      <x:c r="D22" s="47" t="str">
        <x:v>interaction-only</x:v>
      </x:c>
      <x:c r="E22" s="47" t="str">
        <x:v>LATCHED_CONTEXT|SLOW_TEMPORAL_CHANGE|DISCLOSURE_EVENT|BROAD_EVENT_FROZEN_ENTRY</x:v>
      </x:c>
      <x:c r="F22" s="54" t="b">
        <x:v>0</x:v>
      </x:c>
      <x:c r="G22" s="54" t="b">
        <x:v>0</x:v>
      </x:c>
      <x:c r="H22" s="47" t="str">
        <x:v>BILLBOARD_CHANGE</x:v>
      </x:c>
      <x:c r="I22" s="47" t="str">
        <x:v>CURRENT_RELEASE_PREVIOUS_SESSION_GUARD</x:v>
      </x:c>
      <x:c r="J22" s="47" t="str">
        <x:v>NOT_IN_MAIN_GENERATOR</x:v>
      </x:c>
      <x:c r="K22" s="47" t="str">
        <x:v>PENDING_CODEX_SOURCE_UNIVERSE_JOIN</x:v>
      </x:c>
      <x:c r="L22" s="47" t="str">
        <x:v>active121::ctx_billboard_turnoverrate</x:v>
      </x:c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7" t="str">
        <x:v>ctx_billboard_buy_ratio</x:v>
      </x:c>
      <x:c r="B23" s="47" t="str">
        <x:v>billboard</x:v>
      </x:c>
      <x:c r="C23" s="47" t="str">
        <x:v>STOCK</x:v>
      </x:c>
      <x:c r="D23" s="47" t="str">
        <x:v>interaction-only</x:v>
      </x:c>
      <x:c r="E23" s="47" t="str">
        <x:v>LATCHED_CONTEXT|SLOW_TEMPORAL_CHANGE|DISCLOSURE_EVENT|BROAD_EVENT_FROZEN_ENTRY</x:v>
      </x:c>
      <x:c r="F23" s="54" t="b">
        <x:v>0</x:v>
      </x:c>
      <x:c r="G23" s="54" t="b">
        <x:v>0</x:v>
      </x:c>
      <x:c r="H23" s="47" t="str">
        <x:v>BILLBOARD_CHANGE</x:v>
      </x:c>
      <x:c r="I23" s="47" t="str">
        <x:v>CURRENT_RELEASE_PREVIOUS_SESSION_GUARD</x:v>
      </x:c>
      <x:c r="J23" s="47" t="str">
        <x:v>NOT_IN_MAIN_GENERATOR</x:v>
      </x:c>
      <x:c r="K23" s="47" t="str">
        <x:v>PENDING_CODEX_SOURCE_UNIVERSE_JOIN</x:v>
      </x:c>
      <x:c r="L23" s="47" t="str">
        <x:v>active121::ctx_billboard_buy_ratio</x:v>
      </x:c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7" t="str">
        <x:v>ctx_billboard_sell_ratio</x:v>
      </x:c>
      <x:c r="B24" s="47" t="str">
        <x:v>billboard</x:v>
      </x:c>
      <x:c r="C24" s="47" t="str">
        <x:v>STOCK</x:v>
      </x:c>
      <x:c r="D24" s="47" t="str">
        <x:v>interaction-only</x:v>
      </x:c>
      <x:c r="E24" s="47" t="str">
        <x:v>LATCHED_CONTEXT|SLOW_TEMPORAL_CHANGE|DISCLOSURE_EVENT|BROAD_EVENT_FROZEN_ENTRY</x:v>
      </x:c>
      <x:c r="F24" s="54" t="b">
        <x:v>0</x:v>
      </x:c>
      <x:c r="G24" s="54" t="b">
        <x:v>0</x:v>
      </x:c>
      <x:c r="H24" s="47" t="str">
        <x:v>BILLBOARD_CHANGE</x:v>
      </x:c>
      <x:c r="I24" s="47" t="str">
        <x:v>CURRENT_RELEASE_PREVIOUS_SESSION_GUARD</x:v>
      </x:c>
      <x:c r="J24" s="47" t="str">
        <x:v>NOT_IN_MAIN_GENERATOR</x:v>
      </x:c>
      <x:c r="K24" s="47" t="str">
        <x:v>PENDING_CODEX_SOURCE_UNIVERSE_JOIN</x:v>
      </x:c>
      <x:c r="L24" s="47" t="str">
        <x:v>active121::ctx_billboard_sell_ratio</x:v>
      </x:c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7" t="str">
        <x:v>ctx_billboard_sum_buy_amt</x:v>
      </x:c>
      <x:c r="B25" s="47" t="str">
        <x:v>billboard</x:v>
      </x:c>
      <x:c r="C25" s="47" t="str">
        <x:v>STOCK</x:v>
      </x:c>
      <x:c r="D25" s="47" t="str">
        <x:v>interaction-only</x:v>
      </x:c>
      <x:c r="E25" s="47" t="str">
        <x:v>LATCHED_CONTEXT|SLOW_TEMPORAL_CHANGE|DISCLOSURE_EVENT|BROAD_EVENT_FROZEN_ENTRY</x:v>
      </x:c>
      <x:c r="F25" s="54" t="b">
        <x:v>0</x:v>
      </x:c>
      <x:c r="G25" s="54" t="b">
        <x:v>0</x:v>
      </x:c>
      <x:c r="H25" s="47" t="str">
        <x:v>BILLBOARD_CHANGE</x:v>
      </x:c>
      <x:c r="I25" s="47" t="str">
        <x:v>CURRENT_RELEASE_PREVIOUS_SESSION_GUARD</x:v>
      </x:c>
      <x:c r="J25" s="47" t="str">
        <x:v>NOT_IN_MAIN_GENERATOR</x:v>
      </x:c>
      <x:c r="K25" s="47" t="str">
        <x:v>PENDING_CODEX_SOURCE_UNIVERSE_JOIN</x:v>
      </x:c>
      <x:c r="L25" s="47" t="str">
        <x:v>active121::ctx_billboard_sum_buy_amt</x:v>
      </x:c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7" t="str">
        <x:v>ctx_billboard_sum_sell_amt</x:v>
      </x:c>
      <x:c r="B26" s="47" t="str">
        <x:v>billboard</x:v>
      </x:c>
      <x:c r="C26" s="47" t="str">
        <x:v>STOCK</x:v>
      </x:c>
      <x:c r="D26" s="47" t="str">
        <x:v>interaction-only</x:v>
      </x:c>
      <x:c r="E26" s="47" t="str">
        <x:v>LATCHED_CONTEXT|SLOW_TEMPORAL_CHANGE|DISCLOSURE_EVENT|BROAD_EVENT_FROZEN_ENTRY</x:v>
      </x:c>
      <x:c r="F26" s="54" t="b">
        <x:v>0</x:v>
      </x:c>
      <x:c r="G26" s="54" t="b">
        <x:v>0</x:v>
      </x:c>
      <x:c r="H26" s="47" t="str">
        <x:v>BILLBOARD_CHANGE</x:v>
      </x:c>
      <x:c r="I26" s="47" t="str">
        <x:v>CURRENT_RELEASE_PREVIOUS_SESSION_GUARD</x:v>
      </x:c>
      <x:c r="J26" s="47" t="str">
        <x:v>NOT_IN_MAIN_GENERATOR</x:v>
      </x:c>
      <x:c r="K26" s="47" t="str">
        <x:v>PENDING_CODEX_SOURCE_UNIVERSE_JOIN</x:v>
      </x:c>
      <x:c r="L26" s="47" t="str">
        <x:v>active121::ctx_billboard_sum_sell_amt</x:v>
      </x:c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7" t="str">
        <x:v>ctx_billboard_net_bs_amt</x:v>
      </x:c>
      <x:c r="B27" s="47" t="str">
        <x:v>billboard</x:v>
      </x:c>
      <x:c r="C27" s="47" t="str">
        <x:v>STOCK</x:v>
      </x:c>
      <x:c r="D27" s="47" t="str">
        <x:v>interaction-only</x:v>
      </x:c>
      <x:c r="E27" s="47" t="str">
        <x:v>LATCHED_CONTEXT|SLOW_TEMPORAL_CHANGE|DISCLOSURE_EVENT|BROAD_EVENT_FROZEN_ENTRY</x:v>
      </x:c>
      <x:c r="F27" s="54" t="b">
        <x:v>0</x:v>
      </x:c>
      <x:c r="G27" s="54" t="b">
        <x:v>0</x:v>
      </x:c>
      <x:c r="H27" s="47" t="str">
        <x:v>BILLBOARD_CHANGE</x:v>
      </x:c>
      <x:c r="I27" s="47" t="str">
        <x:v>CURRENT_RELEASE_PREVIOUS_SESSION_GUARD</x:v>
      </x:c>
      <x:c r="J27" s="47" t="str">
        <x:v>NOT_IN_MAIN_GENERATOR</x:v>
      </x:c>
      <x:c r="K27" s="47" t="str">
        <x:v>PENDING_CODEX_SOURCE_UNIVERSE_JOIN</x:v>
      </x:c>
      <x:c r="L27" s="47" t="str">
        <x:v>active121::ctx_billboard_net_bs_amt</x:v>
      </x:c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7" t="str">
        <x:v>ctx_holder_holder_num</x:v>
      </x:c>
      <x:c r="B28" s="47" t="str">
        <x:v>holder_structure</x:v>
      </x:c>
      <x:c r="C28" s="47" t="str">
        <x:v>STOCK</x:v>
      </x:c>
      <x:c r="D28" s="47" t="str">
        <x:v>interaction-only</x:v>
      </x:c>
      <x:c r="E28" s="47" t="str">
        <x:v>SLOW_CROSS_SECTIONAL_LEVEL|SLOW_TEMPORAL_CHANGE|DISCLOSURE_EVENT|BROAD_EVENT_FROZEN_ENTRY</x:v>
      </x:c>
      <x:c r="F28" s="54" t="b">
        <x:v>0</x:v>
      </x:c>
      <x:c r="G28" s="54" t="b">
        <x:v>0</x:v>
      </x:c>
      <x:c r="H28" s="47" t="str">
        <x:v>HOLDER_STRUCTURE_CHANGE</x:v>
      </x:c>
      <x:c r="I28" s="47" t="str">
        <x:v>CURRENT_RELEASE_PREVIOUS_SESSION_GUARD</x:v>
      </x:c>
      <x:c r="J28" s="47" t="str">
        <x:v>NOT_IN_MAIN_GENERATOR</x:v>
      </x:c>
      <x:c r="K28" s="47" t="str">
        <x:v>PENDING_CODEX_SOURCE_UNIVERSE_JOIN</x:v>
      </x:c>
      <x:c r="L28" s="47" t="str">
        <x:v>active121::ctx_holder_holder_num</x:v>
      </x:c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7" t="str">
        <x:v>ctx_holder_holder_num_change</x:v>
      </x:c>
      <x:c r="B29" s="47" t="str">
        <x:v>holder_structure</x:v>
      </x:c>
      <x:c r="C29" s="47" t="str">
        <x:v>STOCK</x:v>
      </x:c>
      <x:c r="D29" s="47" t="str">
        <x:v>interaction-only</x:v>
      </x:c>
      <x:c r="E29" s="47" t="str">
        <x:v>SLOW_CROSS_SECTIONAL_LEVEL|SLOW_TEMPORAL_CHANGE|DISCLOSURE_EVENT|BROAD_EVENT_FROZEN_ENTRY</x:v>
      </x:c>
      <x:c r="F29" s="54" t="b">
        <x:v>0</x:v>
      </x:c>
      <x:c r="G29" s="54" t="b">
        <x:v>0</x:v>
      </x:c>
      <x:c r="H29" s="47" t="str">
        <x:v>HOLDER_STRUCTURE_CHANGE</x:v>
      </x:c>
      <x:c r="I29" s="47" t="str">
        <x:v>CURRENT_RELEASE_PREVIOUS_SESSION_GUARD</x:v>
      </x:c>
      <x:c r="J29" s="47" t="str">
        <x:v>NOT_IN_MAIN_GENERATOR</x:v>
      </x:c>
      <x:c r="K29" s="47" t="str">
        <x:v>PENDING_CODEX_SOURCE_UNIVERSE_JOIN</x:v>
      </x:c>
      <x:c r="L29" s="47" t="str">
        <x:v>active121::ctx_holder_holder_num_change</x:v>
      </x:c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7" t="str">
        <x:v>ctx_holder_holder_num_ratio</x:v>
      </x:c>
      <x:c r="B30" s="47" t="str">
        <x:v>holder_structure</x:v>
      </x:c>
      <x:c r="C30" s="47" t="str">
        <x:v>STOCK</x:v>
      </x:c>
      <x:c r="D30" s="47" t="str">
        <x:v>interaction-only</x:v>
      </x:c>
      <x:c r="E30" s="47" t="str">
        <x:v>SLOW_CROSS_SECTIONAL_LEVEL|SLOW_TEMPORAL_CHANGE|DISCLOSURE_EVENT|BROAD_EVENT_FROZEN_ENTRY</x:v>
      </x:c>
      <x:c r="F30" s="54" t="b">
        <x:v>1</x:v>
      </x:c>
      <x:c r="G30" s="54" t="b">
        <x:v>0</x:v>
      </x:c>
      <x:c r="H30" s="47" t="str">
        <x:v>HOLDER_STRUCTURE_CHANGE</x:v>
      </x:c>
      <x:c r="I30" s="47" t="str">
        <x:v>CURRENT_RELEASE_PREVIOUS_SESSION_GUARD</x:v>
      </x:c>
      <x:c r="J30" s="47" t="str">
        <x:v>DIRECT_CONTEXT_EXPOSED</x:v>
      </x:c>
      <x:c r="K30" s="47" t="str">
        <x:v>PENDING_CODEX_SOURCE_UNIVERSE_JOIN</x:v>
      </x:c>
      <x:c r="L30" s="47" t="str">
        <x:v>active121::ctx_holder_holder_num_ratio</x:v>
      </x:c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7" t="str">
        <x:v>ctx_holder_avg_market_cap</x:v>
      </x:c>
      <x:c r="B31" s="47" t="str">
        <x:v>holder_structure</x:v>
      </x:c>
      <x:c r="C31" s="47" t="str">
        <x:v>STOCK</x:v>
      </x:c>
      <x:c r="D31" s="47" t="str">
        <x:v>interaction-only</x:v>
      </x:c>
      <x:c r="E31" s="47" t="str">
        <x:v>SLOW_CROSS_SECTIONAL_LEVEL|SLOW_TEMPORAL_CHANGE|DISCLOSURE_EVENT|BROAD_EVENT_FROZEN_ENTRY</x:v>
      </x:c>
      <x:c r="F31" s="54" t="b">
        <x:v>0</x:v>
      </x:c>
      <x:c r="G31" s="54" t="b">
        <x:v>0</x:v>
      </x:c>
      <x:c r="H31" s="47" t="str">
        <x:v>HOLDER_STRUCTURE_CHANGE</x:v>
      </x:c>
      <x:c r="I31" s="47" t="str">
        <x:v>CURRENT_RELEASE_PREVIOUS_SESSION_GUARD</x:v>
      </x:c>
      <x:c r="J31" s="47" t="str">
        <x:v>NOT_IN_MAIN_GENERATOR</x:v>
      </x:c>
      <x:c r="K31" s="47" t="str">
        <x:v>PENDING_CODEX_SOURCE_UNIVERSE_JOIN</x:v>
      </x:c>
      <x:c r="L31" s="47" t="str">
        <x:v>active121::ctx_holder_avg_market_cap</x:v>
      </x:c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7" t="str">
        <x:v>ctx_holder_avg_hold_num</x:v>
      </x:c>
      <x:c r="B32" s="47" t="str">
        <x:v>holder_structure</x:v>
      </x:c>
      <x:c r="C32" s="47" t="str">
        <x:v>STOCK</x:v>
      </x:c>
      <x:c r="D32" s="47" t="str">
        <x:v>interaction-only</x:v>
      </x:c>
      <x:c r="E32" s="47" t="str">
        <x:v>SLOW_CROSS_SECTIONAL_LEVEL|SLOW_TEMPORAL_CHANGE|DISCLOSURE_EVENT|BROAD_EVENT_FROZEN_ENTRY</x:v>
      </x:c>
      <x:c r="F32" s="54" t="b">
        <x:v>0</x:v>
      </x:c>
      <x:c r="G32" s="54" t="b">
        <x:v>0</x:v>
      </x:c>
      <x:c r="H32" s="47" t="str">
        <x:v>HOLDER_STRUCTURE_CHANGE</x:v>
      </x:c>
      <x:c r="I32" s="47" t="str">
        <x:v>CURRENT_RELEASE_PREVIOUS_SESSION_GUARD</x:v>
      </x:c>
      <x:c r="J32" s="47" t="str">
        <x:v>NOT_IN_MAIN_GENERATOR</x:v>
      </x:c>
      <x:c r="K32" s="47" t="str">
        <x:v>PENDING_CODEX_SOURCE_UNIVERSE_JOIN</x:v>
      </x:c>
      <x:c r="L32" s="47" t="str">
        <x:v>active121::ctx_holder_avg_hold_num</x:v>
      </x:c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7" t="str">
        <x:v>ctx_hfq_turnover_ratio</x:v>
      </x:c>
      <x:c r="B33" s="47" t="str">
        <x:v>valuation_market_state</x:v>
      </x:c>
      <x:c r="C33" s="47" t="str">
        <x:v>STOCK</x:v>
      </x:c>
      <x:c r="D33" s="47" t="str">
        <x:v>interaction-only</x:v>
      </x:c>
      <x:c r="E33" s="47" t="str">
        <x:v>SLOW_CROSS_SECTIONAL_LEVEL|SLOW_TEMPORAL_CHANGE</x:v>
      </x:c>
      <x:c r="F33" s="54" t="b">
        <x:v>1</x:v>
      </x:c>
      <x:c r="G33" s="54" t="b">
        <x:v>0</x:v>
      </x:c>
      <x:c r="H33" s="47" t="str">
        <x:v>NONE</x:v>
      </x:c>
      <x:c r="I33" s="47" t="str">
        <x:v>CURRENT_RELEASE_PREVIOUS_SESSION_GUARD</x:v>
      </x:c>
      <x:c r="J33" s="47" t="str">
        <x:v>DIRECT_CONTEXT_EXPOSED</x:v>
      </x:c>
      <x:c r="K33" s="47" t="str">
        <x:v>PENDING_CODEX_SOURCE_UNIVERSE_JOIN</x:v>
      </x:c>
      <x:c r="L33" s="47" t="str">
        <x:v>active121::ctx_hfq_turnover_ratio</x:v>
      </x:c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7" t="str">
        <x:v>ctx_hfq_volume_ratio</x:v>
      </x:c>
      <x:c r="B34" s="47" t="str">
        <x:v>valuation_market_state</x:v>
      </x:c>
      <x:c r="C34" s="47" t="str">
        <x:v>STOCK</x:v>
      </x:c>
      <x:c r="D34" s="47" t="str">
        <x:v>interaction-only</x:v>
      </x:c>
      <x:c r="E34" s="47" t="str">
        <x:v>SLOW_CROSS_SECTIONAL_LEVEL|SLOW_TEMPORAL_CHANGE</x:v>
      </x:c>
      <x:c r="F34" s="54" t="b">
        <x:v>1</x:v>
      </x:c>
      <x:c r="G34" s="54" t="b">
        <x:v>0</x:v>
      </x:c>
      <x:c r="H34" s="47" t="str">
        <x:v>NONE</x:v>
      </x:c>
      <x:c r="I34" s="47" t="str">
        <x:v>CURRENT_RELEASE_PREVIOUS_SESSION_GUARD</x:v>
      </x:c>
      <x:c r="J34" s="47" t="str">
        <x:v>DIRECT_CONTEXT_EXPOSED</x:v>
      </x:c>
      <x:c r="K34" s="47" t="str">
        <x:v>PENDING_CODEX_SOURCE_UNIVERSE_JOIN</x:v>
      </x:c>
      <x:c r="L34" s="47" t="str">
        <x:v>active121::ctx_hfq_volume_ratio</x:v>
      </x:c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7" t="str">
        <x:v>ctx_hfq_is_st</x:v>
      </x:c>
      <x:c r="B35" s="47" t="str">
        <x:v>valuation_market_state</x:v>
      </x:c>
      <x:c r="C35" s="47" t="str">
        <x:v>STOCK</x:v>
      </x:c>
      <x:c r="D35" s="47" t="str">
        <x:v>condition-only</x:v>
      </x:c>
      <x:c r="E35" s="47" t="str">
        <x:v>FUNDAMENTAL_CONDITION</x:v>
      </x:c>
      <x:c r="F35" s="54" t="b">
        <x:v>0</x:v>
      </x:c>
      <x:c r="G35" s="54" t="b">
        <x:v>0</x:v>
      </x:c>
      <x:c r="H35" s="47" t="str">
        <x:v>NONE</x:v>
      </x:c>
      <x:c r="I35" s="47" t="str">
        <x:v>CURRENT_RELEASE_PREVIOUS_SESSION_GUARD</x:v>
      </x:c>
      <x:c r="J35" s="47" t="str">
        <x:v>NOT_IN_MAIN_GENERATOR</x:v>
      </x:c>
      <x:c r="K35" s="47" t="str">
        <x:v>PENDING_CODEX_SOURCE_UNIVERSE_JOIN</x:v>
      </x:c>
      <x:c r="L35" s="47" t="str">
        <x:v>active121::ctx_hfq_is_st</x:v>
      </x:c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7" t="str">
        <x:v>ctx_hfq_prev_is_limit_up</x:v>
      </x:c>
      <x:c r="B36" s="47" t="str">
        <x:v>valuation_market_state</x:v>
      </x:c>
      <x:c r="C36" s="47" t="str">
        <x:v>STOCK</x:v>
      </x:c>
      <x:c r="D36" s="47" t="str">
        <x:v>state-only</x:v>
      </x:c>
      <x:c r="E36" s="47" t="str">
        <x:v>MARKET_REGIME_CONDITION</x:v>
      </x:c>
      <x:c r="F36" s="54" t="b">
        <x:v>0</x:v>
      </x:c>
      <x:c r="G36" s="54" t="b">
        <x:v>0</x:v>
      </x:c>
      <x:c r="H36" s="47" t="str">
        <x:v>NONE</x:v>
      </x:c>
      <x:c r="I36" s="47" t="str">
        <x:v>CURRENT_RELEASE_PREVIOUS_SESSION_GUARD</x:v>
      </x:c>
      <x:c r="J36" s="47" t="str">
        <x:v>DECLARED_STATE_BUT_NOT_CONSUMED</x:v>
      </x:c>
      <x:c r="K36" s="47" t="str">
        <x:v>PENDING_CODEX_SOURCE_UNIVERSE_JOIN</x:v>
      </x:c>
      <x:c r="L36" s="47" t="str">
        <x:v>active121::ctx_hfq_prev_is_limit_up</x:v>
      </x:c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7" t="str">
        <x:v>ctx_hfq_market_cap_yuan</x:v>
      </x:c>
      <x:c r="B37" s="47" t="str">
        <x:v>valuation_market_state</x:v>
      </x:c>
      <x:c r="C37" s="47" t="str">
        <x:v>STOCK</x:v>
      </x:c>
      <x:c r="D37" s="47" t="str">
        <x:v>interaction-only</x:v>
      </x:c>
      <x:c r="E37" s="47" t="str">
        <x:v>SLOW_CROSS_SECTIONAL_LEVEL|SLOW_TEMPORAL_CHANGE</x:v>
      </x:c>
      <x:c r="F37" s="54" t="b">
        <x:v>1</x:v>
      </x:c>
      <x:c r="G37" s="54" t="b">
        <x:v>0</x:v>
      </x:c>
      <x:c r="H37" s="47" t="str">
        <x:v>NONE</x:v>
      </x:c>
      <x:c r="I37" s="47" t="str">
        <x:v>CURRENT_RELEASE_PREVIOUS_SESSION_GUARD</x:v>
      </x:c>
      <x:c r="J37" s="47" t="str">
        <x:v>DIRECT_CONTEXT_EXPOSED</x:v>
      </x:c>
      <x:c r="K37" s="47" t="str">
        <x:v>PENDING_CODEX_SOURCE_UNIVERSE_JOIN</x:v>
      </x:c>
      <x:c r="L37" s="47" t="str">
        <x:v>active121::ctx_hfq_market_cap_yuan</x:v>
      </x:c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7" t="str">
        <x:v>ctx_hfq_float_market_cap_yuan</x:v>
      </x:c>
      <x:c r="B38" s="47" t="str">
        <x:v>valuation_market_state</x:v>
      </x:c>
      <x:c r="C38" s="47" t="str">
        <x:v>STOCK</x:v>
      </x:c>
      <x:c r="D38" s="47" t="str">
        <x:v>interaction-only</x:v>
      </x:c>
      <x:c r="E38" s="47" t="str">
        <x:v>SLOW_CROSS_SECTIONAL_LEVEL|SLOW_TEMPORAL_CHANGE</x:v>
      </x:c>
      <x:c r="F38" s="54" t="b">
        <x:v>1</x:v>
      </x:c>
      <x:c r="G38" s="54" t="b">
        <x:v>0</x:v>
      </x:c>
      <x:c r="H38" s="47" t="str">
        <x:v>NONE</x:v>
      </x:c>
      <x:c r="I38" s="47" t="str">
        <x:v>CURRENT_RELEASE_PREVIOUS_SESSION_GUARD</x:v>
      </x:c>
      <x:c r="J38" s="47" t="str">
        <x:v>DIRECT_CONTEXT_EXPOSED</x:v>
      </x:c>
      <x:c r="K38" s="47" t="str">
        <x:v>PENDING_CODEX_SOURCE_UNIVERSE_JOIN</x:v>
      </x:c>
      <x:c r="L38" s="47" t="str">
        <x:v>active121::ctx_hfq_float_market_cap_yuan</x:v>
      </x:c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7" t="str">
        <x:v>ctx_hfq_pe_ttm</x:v>
      </x:c>
      <x:c r="B39" s="47" t="str">
        <x:v>valuation_market_state</x:v>
      </x:c>
      <x:c r="C39" s="47" t="str">
        <x:v>STOCK</x:v>
      </x:c>
      <x:c r="D39" s="47" t="str">
        <x:v>interaction-only</x:v>
      </x:c>
      <x:c r="E39" s="47" t="str">
        <x:v>SLOW_CROSS_SECTIONAL_LEVEL|SLOW_TEMPORAL_CHANGE</x:v>
      </x:c>
      <x:c r="F39" s="54" t="b">
        <x:v>0</x:v>
      </x:c>
      <x:c r="G39" s="54" t="b">
        <x:v>0</x:v>
      </x:c>
      <x:c r="H39" s="47" t="str">
        <x:v>NONE</x:v>
      </x:c>
      <x:c r="I39" s="47" t="str">
        <x:v>CURRENT_RELEASE_PREVIOUS_SESSION_GUARD</x:v>
      </x:c>
      <x:c r="J39" s="47" t="str">
        <x:v>NOT_IN_MAIN_GENERATOR</x:v>
      </x:c>
      <x:c r="K39" s="47" t="str">
        <x:v>PENDING_CODEX_SOURCE_UNIVERSE_JOIN</x:v>
      </x:c>
      <x:c r="L39" s="47" t="str">
        <x:v>active121::ctx_hfq_pe_ttm</x:v>
      </x:c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7" t="str">
        <x:v>ctx_hfq_pb</x:v>
      </x:c>
      <x:c r="B40" s="47" t="str">
        <x:v>valuation_market_state</x:v>
      </x:c>
      <x:c r="C40" s="47" t="str">
        <x:v>STOCK</x:v>
      </x:c>
      <x:c r="D40" s="47" t="str">
        <x:v>interaction-only</x:v>
      </x:c>
      <x:c r="E40" s="47" t="str">
        <x:v>SLOW_CROSS_SECTIONAL_LEVEL|SLOW_TEMPORAL_CHANGE</x:v>
      </x:c>
      <x:c r="F40" s="54" t="b">
        <x:v>1</x:v>
      </x:c>
      <x:c r="G40" s="54" t="b">
        <x:v>0</x:v>
      </x:c>
      <x:c r="H40" s="47" t="str">
        <x:v>NONE</x:v>
      </x:c>
      <x:c r="I40" s="47" t="str">
        <x:v>CURRENT_RELEASE_PREVIOUS_SESSION_GUARD</x:v>
      </x:c>
      <x:c r="J40" s="47" t="str">
        <x:v>DIRECT_CONTEXT_EXPOSED</x:v>
      </x:c>
      <x:c r="K40" s="47" t="str">
        <x:v>PENDING_CODEX_SOURCE_UNIVERSE_JOIN</x:v>
      </x:c>
      <x:c r="L40" s="47" t="str">
        <x:v>active121::ctx_hfq_pb</x:v>
      </x:c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7" t="str">
        <x:v>ctx_hfq_ps_ttm</x:v>
      </x:c>
      <x:c r="B41" s="47" t="str">
        <x:v>valuation_market_state</x:v>
      </x:c>
      <x:c r="C41" s="47" t="str">
        <x:v>STOCK</x:v>
      </x:c>
      <x:c r="D41" s="47" t="str">
        <x:v>interaction-only</x:v>
      </x:c>
      <x:c r="E41" s="47" t="str">
        <x:v>SLOW_CROSS_SECTIONAL_LEVEL|SLOW_TEMPORAL_CHANGE</x:v>
      </x:c>
      <x:c r="F41" s="54" t="b">
        <x:v>1</x:v>
      </x:c>
      <x:c r="G41" s="54" t="b">
        <x:v>0</x:v>
      </x:c>
      <x:c r="H41" s="47" t="str">
        <x:v>NONE</x:v>
      </x:c>
      <x:c r="I41" s="47" t="str">
        <x:v>CURRENT_RELEASE_PREVIOUS_SESSION_GUARD</x:v>
      </x:c>
      <x:c r="J41" s="47" t="str">
        <x:v>DIRECT_CONTEXT_EXPOSED</x:v>
      </x:c>
      <x:c r="K41" s="47" t="str">
        <x:v>PENDING_CODEX_SOURCE_UNIVERSE_JOIN</x:v>
      </x:c>
      <x:c r="L41" s="47" t="str">
        <x:v>active121::ctx_hfq_ps_ttm</x:v>
      </x:c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7" t="str">
        <x:v>ctx_sent_uplimit_num</x:v>
      </x:c>
      <x:c r="B42" s="47" t="str">
        <x:v>market_sentiment</x:v>
      </x:c>
      <x:c r="C42" s="47" t="str">
        <x:v>MARKET</x:v>
      </x:c>
      <x:c r="D42" s="47" t="str">
        <x:v>state-only</x:v>
      </x:c>
      <x:c r="E42" s="47" t="str">
        <x:v>MARKET_REGIME_CONDITION|BROAD_EVENT_FROZEN_ENTRY</x:v>
      </x:c>
      <x:c r="F42" s="54" t="b">
        <x:v>0</x:v>
      </x:c>
      <x:c r="G42" s="54" t="b">
        <x:v>0</x:v>
      </x:c>
      <x:c r="H42" s="47" t="str">
        <x:v>MARKET_ECOLOGY_TRANSITION</x:v>
      </x:c>
      <x:c r="I42" s="47" t="str">
        <x:v>CURRENT_RELEASE_PREVIOUS_SESSION_GUARD</x:v>
      </x:c>
      <x:c r="J42" s="47" t="str">
        <x:v>NOT_IN_MAIN_GENERATOR</x:v>
      </x:c>
      <x:c r="K42" s="47" t="str">
        <x:v>PENDING_CODEX_SOURCE_UNIVERSE_JOIN</x:v>
      </x:c>
      <x:c r="L42" s="47" t="str">
        <x:v>active121::ctx_sent_uplimit_num</x:v>
      </x:c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7" t="str">
        <x:v>ctx_sent_downlimit_num</x:v>
      </x:c>
      <x:c r="B43" s="47" t="str">
        <x:v>market_sentiment</x:v>
      </x:c>
      <x:c r="C43" s="47" t="str">
        <x:v>MARKET</x:v>
      </x:c>
      <x:c r="D43" s="47" t="str">
        <x:v>state-only</x:v>
      </x:c>
      <x:c r="E43" s="47" t="str">
        <x:v>MARKET_REGIME_CONDITION|BROAD_EVENT_FROZEN_ENTRY</x:v>
      </x:c>
      <x:c r="F43" s="54" t="b">
        <x:v>0</x:v>
      </x:c>
      <x:c r="G43" s="54" t="b">
        <x:v>0</x:v>
      </x:c>
      <x:c r="H43" s="47" t="str">
        <x:v>MARKET_ECOLOGY_TRANSITION</x:v>
      </x:c>
      <x:c r="I43" s="47" t="str">
        <x:v>CURRENT_RELEASE_PREVIOUS_SESSION_GUARD</x:v>
      </x:c>
      <x:c r="J43" s="47" t="str">
        <x:v>NOT_IN_MAIN_GENERATOR</x:v>
      </x:c>
      <x:c r="K43" s="47" t="str">
        <x:v>PENDING_CODEX_SOURCE_UNIVERSE_JOIN</x:v>
      </x:c>
      <x:c r="L43" s="47" t="str">
        <x:v>active121::ctx_sent_downlimit_num</x:v>
      </x:c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7" t="str">
        <x:v>ctx_sent_up_num</x:v>
      </x:c>
      <x:c r="B44" s="47" t="str">
        <x:v>market_sentiment</x:v>
      </x:c>
      <x:c r="C44" s="47" t="str">
        <x:v>MARKET</x:v>
      </x:c>
      <x:c r="D44" s="47" t="str">
        <x:v>state-only</x:v>
      </x:c>
      <x:c r="E44" s="47" t="str">
        <x:v>MARKET_REGIME_CONDITION|BROAD_EVENT_FROZEN_ENTRY</x:v>
      </x:c>
      <x:c r="F44" s="54" t="b">
        <x:v>0</x:v>
      </x:c>
      <x:c r="G44" s="54" t="b">
        <x:v>0</x:v>
      </x:c>
      <x:c r="H44" s="47" t="str">
        <x:v>MARKET_ECOLOGY_TRANSITION</x:v>
      </x:c>
      <x:c r="I44" s="47" t="str">
        <x:v>CURRENT_RELEASE_PREVIOUS_SESSION_GUARD</x:v>
      </x:c>
      <x:c r="J44" s="47" t="str">
        <x:v>NOT_IN_MAIN_GENERATOR</x:v>
      </x:c>
      <x:c r="K44" s="47" t="str">
        <x:v>PENDING_CODEX_SOURCE_UNIVERSE_JOIN</x:v>
      </x:c>
      <x:c r="L44" s="47" t="str">
        <x:v>active121::ctx_sent_up_num</x:v>
      </x:c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7" t="str">
        <x:v>ctx_sent_down_num</x:v>
      </x:c>
      <x:c r="B45" s="47" t="str">
        <x:v>market_sentiment</x:v>
      </x:c>
      <x:c r="C45" s="47" t="str">
        <x:v>MARKET</x:v>
      </x:c>
      <x:c r="D45" s="47" t="str">
        <x:v>state-only</x:v>
      </x:c>
      <x:c r="E45" s="47" t="str">
        <x:v>MARKET_REGIME_CONDITION|BROAD_EVENT_FROZEN_ENTRY</x:v>
      </x:c>
      <x:c r="F45" s="54" t="b">
        <x:v>0</x:v>
      </x:c>
      <x:c r="G45" s="54" t="b">
        <x:v>0</x:v>
      </x:c>
      <x:c r="H45" s="47" t="str">
        <x:v>MARKET_ECOLOGY_TRANSITION</x:v>
      </x:c>
      <x:c r="I45" s="47" t="str">
        <x:v>CURRENT_RELEASE_PREVIOUS_SESSION_GUARD</x:v>
      </x:c>
      <x:c r="J45" s="47" t="str">
        <x:v>NOT_IN_MAIN_GENERATOR</x:v>
      </x:c>
      <x:c r="K45" s="47" t="str">
        <x:v>PENDING_CODEX_SOURCE_UNIVERSE_JOIN</x:v>
      </x:c>
      <x:c r="L45" s="47" t="str">
        <x:v>active121::ctx_sent_down_num</x:v>
      </x:c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7" t="str">
        <x:v>ctx_sent_zb_num</x:v>
      </x:c>
      <x:c r="B46" s="47" t="str">
        <x:v>market_sentiment</x:v>
      </x:c>
      <x:c r="C46" s="47" t="str">
        <x:v>MARKET</x:v>
      </x:c>
      <x:c r="D46" s="47" t="str">
        <x:v>state-only</x:v>
      </x:c>
      <x:c r="E46" s="47" t="str">
        <x:v>MARKET_REGIME_CONDITION|BROAD_EVENT_FROZEN_ENTRY</x:v>
      </x:c>
      <x:c r="F46" s="54" t="b">
        <x:v>0</x:v>
      </x:c>
      <x:c r="G46" s="54" t="b">
        <x:v>0</x:v>
      </x:c>
      <x:c r="H46" s="47" t="str">
        <x:v>MARKET_ECOLOGY_TRANSITION</x:v>
      </x:c>
      <x:c r="I46" s="47" t="str">
        <x:v>CURRENT_RELEASE_PREVIOUS_SESSION_GUARD</x:v>
      </x:c>
      <x:c r="J46" s="47" t="str">
        <x:v>DECLARED_STATE_BUT_NOT_CONSUMED</x:v>
      </x:c>
      <x:c r="K46" s="47" t="str">
        <x:v>PENDING_CODEX_SOURCE_UNIVERSE_JOIN</x:v>
      </x:c>
      <x:c r="L46" s="47" t="str">
        <x:v>active121::ctx_sent_zb_num</x:v>
      </x:c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7" t="str">
        <x:v>ctx_sent_lb_2_num</x:v>
      </x:c>
      <x:c r="B47" s="47" t="str">
        <x:v>market_sentiment</x:v>
      </x:c>
      <x:c r="C47" s="47" t="str">
        <x:v>MARKET</x:v>
      </x:c>
      <x:c r="D47" s="47" t="str">
        <x:v>state-only</x:v>
      </x:c>
      <x:c r="E47" s="47" t="str">
        <x:v>MARKET_REGIME_CONDITION|BROAD_EVENT_FROZEN_ENTRY</x:v>
      </x:c>
      <x:c r="F47" s="54" t="b">
        <x:v>0</x:v>
      </x:c>
      <x:c r="G47" s="54" t="b">
        <x:v>0</x:v>
      </x:c>
      <x:c r="H47" s="47" t="str">
        <x:v>MARKET_ECOLOGY_TRANSITION</x:v>
      </x:c>
      <x:c r="I47" s="47" t="str">
        <x:v>CURRENT_RELEASE_PREVIOUS_SESSION_GUARD</x:v>
      </x:c>
      <x:c r="J47" s="47" t="str">
        <x:v>DECLARED_STATE_BUT_NOT_CONSUMED</x:v>
      </x:c>
      <x:c r="K47" s="47" t="str">
        <x:v>PENDING_CODEX_SOURCE_UNIVERSE_JOIN</x:v>
      </x:c>
      <x:c r="L47" s="47" t="str">
        <x:v>active121::ctx_sent_lb_2_num</x:v>
      </x:c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7" t="str">
        <x:v>ctx_sent_lb_3_num</x:v>
      </x:c>
      <x:c r="B48" s="47" t="str">
        <x:v>market_sentiment</x:v>
      </x:c>
      <x:c r="C48" s="47" t="str">
        <x:v>MARKET</x:v>
      </x:c>
      <x:c r="D48" s="47" t="str">
        <x:v>state-only</x:v>
      </x:c>
      <x:c r="E48" s="47" t="str">
        <x:v>MARKET_REGIME_CONDITION|BROAD_EVENT_FROZEN_ENTRY</x:v>
      </x:c>
      <x:c r="F48" s="54" t="b">
        <x:v>0</x:v>
      </x:c>
      <x:c r="G48" s="54" t="b">
        <x:v>0</x:v>
      </x:c>
      <x:c r="H48" s="47" t="str">
        <x:v>MARKET_ECOLOGY_TRANSITION</x:v>
      </x:c>
      <x:c r="I48" s="47" t="str">
        <x:v>CURRENT_RELEASE_PREVIOUS_SESSION_GUARD</x:v>
      </x:c>
      <x:c r="J48" s="47" t="str">
        <x:v>NOT_IN_MAIN_GENERATOR</x:v>
      </x:c>
      <x:c r="K48" s="47" t="str">
        <x:v>PENDING_CODEX_SOURCE_UNIVERSE_JOIN</x:v>
      </x:c>
      <x:c r="L48" s="47" t="str">
        <x:v>active121::ctx_sent_lb_3_num</x:v>
      </x:c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7" t="str">
        <x:v>ctx_sent_max_lb_num</x:v>
      </x:c>
      <x:c r="B49" s="47" t="str">
        <x:v>market_sentiment</x:v>
      </x:c>
      <x:c r="C49" s="47" t="str">
        <x:v>MARKET</x:v>
      </x:c>
      <x:c r="D49" s="47" t="str">
        <x:v>state-only</x:v>
      </x:c>
      <x:c r="E49" s="47" t="str">
        <x:v>MARKET_REGIME_CONDITION|BROAD_EVENT_FROZEN_ENTRY</x:v>
      </x:c>
      <x:c r="F49" s="54" t="b">
        <x:v>0</x:v>
      </x:c>
      <x:c r="G49" s="54" t="b">
        <x:v>0</x:v>
      </x:c>
      <x:c r="H49" s="47" t="str">
        <x:v>MARKET_ECOLOGY_TRANSITION</x:v>
      </x:c>
      <x:c r="I49" s="47" t="str">
        <x:v>CURRENT_RELEASE_PREVIOUS_SESSION_GUARD</x:v>
      </x:c>
      <x:c r="J49" s="47" t="str">
        <x:v>NOT_IN_MAIN_GENERATOR</x:v>
      </x:c>
      <x:c r="K49" s="47" t="str">
        <x:v>PENDING_CODEX_SOURCE_UNIVERSE_JOIN</x:v>
      </x:c>
      <x:c r="L49" s="47" t="str">
        <x:v>active121::ctx_sent_max_lb_num</x:v>
      </x:c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7" t="str">
        <x:v>ctx_sent_mian_num</x:v>
      </x:c>
      <x:c r="B50" s="47" t="str">
        <x:v>market_sentiment</x:v>
      </x:c>
      <x:c r="C50" s="47" t="str">
        <x:v>MARKET</x:v>
      </x:c>
      <x:c r="D50" s="47" t="str">
        <x:v>state-only</x:v>
      </x:c>
      <x:c r="E50" s="47" t="str">
        <x:v>MARKET_REGIME_CONDITION|BROAD_EVENT_FROZEN_ENTRY</x:v>
      </x:c>
      <x:c r="F50" s="54" t="b">
        <x:v>0</x:v>
      </x:c>
      <x:c r="G50" s="54" t="b">
        <x:v>0</x:v>
      </x:c>
      <x:c r="H50" s="47" t="str">
        <x:v>MARKET_ECOLOGY_TRANSITION</x:v>
      </x:c>
      <x:c r="I50" s="47" t="str">
        <x:v>CURRENT_RELEASE_PREVIOUS_SESSION_GUARD</x:v>
      </x:c>
      <x:c r="J50" s="47" t="str">
        <x:v>NOT_IN_MAIN_GENERATOR</x:v>
      </x:c>
      <x:c r="K50" s="47" t="str">
        <x:v>PENDING_CODEX_SOURCE_UNIVERSE_JOIN</x:v>
      </x:c>
      <x:c r="L50" s="47" t="str">
        <x:v>active121::ctx_sent_mian_num</x:v>
      </x:c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7" t="str">
        <x:v>ctx_sent_tiandi_num</x:v>
      </x:c>
      <x:c r="B51" s="47" t="str">
        <x:v>market_sentiment</x:v>
      </x:c>
      <x:c r="C51" s="47" t="str">
        <x:v>MARKET</x:v>
      </x:c>
      <x:c r="D51" s="47" t="str">
        <x:v>state-only</x:v>
      </x:c>
      <x:c r="E51" s="47" t="str">
        <x:v>MARKET_REGIME_CONDITION|BROAD_EVENT_FROZEN_ENTRY</x:v>
      </x:c>
      <x:c r="F51" s="54" t="b">
        <x:v>0</x:v>
      </x:c>
      <x:c r="G51" s="54" t="b">
        <x:v>0</x:v>
      </x:c>
      <x:c r="H51" s="47" t="str">
        <x:v>MARKET_ECOLOGY_TRANSITION</x:v>
      </x:c>
      <x:c r="I51" s="47" t="str">
        <x:v>CURRENT_RELEASE_PREVIOUS_SESSION_GUARD</x:v>
      </x:c>
      <x:c r="J51" s="47" t="str">
        <x:v>NOT_IN_MAIN_GENERATOR</x:v>
      </x:c>
      <x:c r="K51" s="47" t="str">
        <x:v>PENDING_CODEX_SOURCE_UNIVERSE_JOIN</x:v>
      </x:c>
      <x:c r="L51" s="47" t="str">
        <x:v>active121::ctx_sent_tiandi_num</x:v>
      </x:c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7" t="str">
        <x:v>ctx_sent_ditian_num</x:v>
      </x:c>
      <x:c r="B52" s="47" t="str">
        <x:v>market_sentiment</x:v>
      </x:c>
      <x:c r="C52" s="47" t="str">
        <x:v>MARKET</x:v>
      </x:c>
      <x:c r="D52" s="47" t="str">
        <x:v>state-only</x:v>
      </x:c>
      <x:c r="E52" s="47" t="str">
        <x:v>MARKET_REGIME_CONDITION|BROAD_EVENT_FROZEN_ENTRY</x:v>
      </x:c>
      <x:c r="F52" s="54" t="b">
        <x:v>0</x:v>
      </x:c>
      <x:c r="G52" s="54" t="b">
        <x:v>0</x:v>
      </x:c>
      <x:c r="H52" s="47" t="str">
        <x:v>MARKET_ECOLOGY_TRANSITION</x:v>
      </x:c>
      <x:c r="I52" s="47" t="str">
        <x:v>CURRENT_RELEASE_PREVIOUS_SESSION_GUARD</x:v>
      </x:c>
      <x:c r="J52" s="47" t="str">
        <x:v>NOT_IN_MAIN_GENERATOR</x:v>
      </x:c>
      <x:c r="K52" s="47" t="str">
        <x:v>PENDING_CODEX_SOURCE_UNIVERSE_JOIN</x:v>
      </x:c>
      <x:c r="L52" s="47" t="str">
        <x:v>active121::ctx_sent_ditian_num</x:v>
      </x:c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7" t="str">
        <x:v>ctx_sent_damian_num</x:v>
      </x:c>
      <x:c r="B53" s="47" t="str">
        <x:v>market_sentiment</x:v>
      </x:c>
      <x:c r="C53" s="47" t="str">
        <x:v>MARKET</x:v>
      </x:c>
      <x:c r="D53" s="47" t="str">
        <x:v>state-only</x:v>
      </x:c>
      <x:c r="E53" s="47" t="str">
        <x:v>MARKET_REGIME_CONDITION|BROAD_EVENT_FROZEN_ENTRY</x:v>
      </x:c>
      <x:c r="F53" s="54" t="b">
        <x:v>0</x:v>
      </x:c>
      <x:c r="G53" s="54" t="b">
        <x:v>0</x:v>
      </x:c>
      <x:c r="H53" s="47" t="str">
        <x:v>MARKET_ECOLOGY_TRANSITION</x:v>
      </x:c>
      <x:c r="I53" s="47" t="str">
        <x:v>CURRENT_RELEASE_PREVIOUS_SESSION_GUARD</x:v>
      </x:c>
      <x:c r="J53" s="47" t="str">
        <x:v>NOT_IN_MAIN_GENERATOR</x:v>
      </x:c>
      <x:c r="K53" s="47" t="str">
        <x:v>PENDING_CODEX_SOURCE_UNIVERSE_JOIN</x:v>
      </x:c>
      <x:c r="L53" s="47" t="str">
        <x:v>active121::ctx_sent_damian_num</x:v>
      </x:c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7" t="str">
        <x:v>ctx_sent_gt5_num</x:v>
      </x:c>
      <x:c r="B54" s="47" t="str">
        <x:v>market_sentiment</x:v>
      </x:c>
      <x:c r="C54" s="47" t="str">
        <x:v>MARKET</x:v>
      </x:c>
      <x:c r="D54" s="47" t="str">
        <x:v>state-only</x:v>
      </x:c>
      <x:c r="E54" s="47" t="str">
        <x:v>MARKET_REGIME_CONDITION|BROAD_EVENT_FROZEN_ENTRY</x:v>
      </x:c>
      <x:c r="F54" s="54" t="b">
        <x:v>0</x:v>
      </x:c>
      <x:c r="G54" s="54" t="b">
        <x:v>0</x:v>
      </x:c>
      <x:c r="H54" s="47" t="str">
        <x:v>MARKET_ECOLOGY_TRANSITION</x:v>
      </x:c>
      <x:c r="I54" s="47" t="str">
        <x:v>CURRENT_RELEASE_PREVIOUS_SESSION_GUARD</x:v>
      </x:c>
      <x:c r="J54" s="47" t="str">
        <x:v>NOT_IN_MAIN_GENERATOR</x:v>
      </x:c>
      <x:c r="K54" s="47" t="str">
        <x:v>PENDING_CODEX_SOURCE_UNIVERSE_JOIN</x:v>
      </x:c>
      <x:c r="L54" s="47" t="str">
        <x:v>active121::ctx_sent_gt5_num</x:v>
      </x:c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7" t="str">
        <x:v>ctx_sent_lt5_num</x:v>
      </x:c>
      <x:c r="B55" s="47" t="str">
        <x:v>market_sentiment</x:v>
      </x:c>
      <x:c r="C55" s="47" t="str">
        <x:v>MARKET</x:v>
      </x:c>
      <x:c r="D55" s="47" t="str">
        <x:v>state-only</x:v>
      </x:c>
      <x:c r="E55" s="47" t="str">
        <x:v>MARKET_REGIME_CONDITION|BROAD_EVENT_FROZEN_ENTRY</x:v>
      </x:c>
      <x:c r="F55" s="54" t="b">
        <x:v>0</x:v>
      </x:c>
      <x:c r="G55" s="54" t="b">
        <x:v>0</x:v>
      </x:c>
      <x:c r="H55" s="47" t="str">
        <x:v>MARKET_ECOLOGY_TRANSITION</x:v>
      </x:c>
      <x:c r="I55" s="47" t="str">
        <x:v>CURRENT_RELEASE_PREVIOUS_SESSION_GUARD</x:v>
      </x:c>
      <x:c r="J55" s="47" t="str">
        <x:v>NOT_IN_MAIN_GENERATOR</x:v>
      </x:c>
      <x:c r="K55" s="47" t="str">
        <x:v>PENDING_CODEX_SOURCE_UNIVERSE_JOIN</x:v>
      </x:c>
      <x:c r="L55" s="47" t="str">
        <x:v>active121::ctx_sent_lt5_num</x:v>
      </x:c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7" t="str">
        <x:v>ctx_sent_lb_h_num</x:v>
      </x:c>
      <x:c r="B56" s="47" t="str">
        <x:v>market_sentiment</x:v>
      </x:c>
      <x:c r="C56" s="47" t="str">
        <x:v>MARKET</x:v>
      </x:c>
      <x:c r="D56" s="47" t="str">
        <x:v>state-only</x:v>
      </x:c>
      <x:c r="E56" s="47" t="str">
        <x:v>MARKET_REGIME_CONDITION|BROAD_EVENT_FROZEN_ENTRY</x:v>
      </x:c>
      <x:c r="F56" s="54" t="b">
        <x:v>0</x:v>
      </x:c>
      <x:c r="G56" s="54" t="b">
        <x:v>0</x:v>
      </x:c>
      <x:c r="H56" s="47" t="str">
        <x:v>MARKET_ECOLOGY_TRANSITION</x:v>
      </x:c>
      <x:c r="I56" s="47" t="str">
        <x:v>CURRENT_RELEASE_PREVIOUS_SESSION_GUARD</x:v>
      </x:c>
      <x:c r="J56" s="47" t="str">
        <x:v>NOT_IN_MAIN_GENERATOR</x:v>
      </x:c>
      <x:c r="K56" s="47" t="str">
        <x:v>PENDING_CODEX_SOURCE_UNIVERSE_JOIN</x:v>
      </x:c>
      <x:c r="L56" s="47" t="str">
        <x:v>active121::ctx_sent_lb_h_num</x:v>
      </x:c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7" t="str">
        <x:v>ctx_zls_df_num</x:v>
      </x:c>
      <x:c r="B57" s="47" t="str">
        <x:v>market_ecology</x:v>
      </x:c>
      <x:c r="C57" s="47" t="str">
        <x:v>MARKET</x:v>
      </x:c>
      <x:c r="D57" s="47" t="str">
        <x:v>state-only</x:v>
      </x:c>
      <x:c r="E57" s="47" t="str">
        <x:v>MARKET_REGIME_CONDITION|BROAD_EVENT_FROZEN_ENTRY</x:v>
      </x:c>
      <x:c r="F57" s="54" t="b">
        <x:v>0</x:v>
      </x:c>
      <x:c r="G57" s="54" t="b">
        <x:v>0</x:v>
      </x:c>
      <x:c r="H57" s="47" t="str">
        <x:v>MARKET_ECOLOGY_TRANSITION</x:v>
      </x:c>
      <x:c r="I57" s="47" t="str">
        <x:v>CURRENT_RELEASE_PREVIOUS_SESSION_GUARD</x:v>
      </x:c>
      <x:c r="J57" s="47" t="str">
        <x:v>NOT_IN_MAIN_GENERATOR</x:v>
      </x:c>
      <x:c r="K57" s="47" t="str">
        <x:v>PENDING_CODEX_SOURCE_UNIVERSE_JOIN</x:v>
      </x:c>
      <x:c r="L57" s="47" t="str">
        <x:v>active121::ctx_zls_df_num</x:v>
      </x:c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7" t="str">
        <x:v>ctx_zls_lbgd</x:v>
      </x:c>
      <x:c r="B58" s="47" t="str">
        <x:v>market_ecology</x:v>
      </x:c>
      <x:c r="C58" s="47" t="str">
        <x:v>MARKET</x:v>
      </x:c>
      <x:c r="D58" s="47" t="str">
        <x:v>state-only</x:v>
      </x:c>
      <x:c r="E58" s="47" t="str">
        <x:v>MARKET_REGIME_CONDITION|BROAD_EVENT_FROZEN_ENTRY</x:v>
      </x:c>
      <x:c r="F58" s="54" t="b">
        <x:v>0</x:v>
      </x:c>
      <x:c r="G58" s="54" t="b">
        <x:v>0</x:v>
      </x:c>
      <x:c r="H58" s="47" t="str">
        <x:v>MARKET_ECOLOGY_TRANSITION</x:v>
      </x:c>
      <x:c r="I58" s="47" t="str">
        <x:v>CURRENT_RELEASE_PREVIOUS_SESSION_GUARD</x:v>
      </x:c>
      <x:c r="J58" s="47" t="str">
        <x:v>NOT_IN_MAIN_GENERATOR</x:v>
      </x:c>
      <x:c r="K58" s="47" t="str">
        <x:v>PENDING_CODEX_SOURCE_UNIVERSE_JOIN</x:v>
      </x:c>
      <x:c r="L58" s="47" t="str">
        <x:v>active121::ctx_zls_lbgd</x:v>
      </x:c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7" t="str">
        <x:v>ctx_zls_strong</x:v>
      </x:c>
      <x:c r="B59" s="47" t="str">
        <x:v>market_ecology</x:v>
      </x:c>
      <x:c r="C59" s="47" t="str">
        <x:v>MARKET</x:v>
      </x:c>
      <x:c r="D59" s="47" t="str">
        <x:v>state-only</x:v>
      </x:c>
      <x:c r="E59" s="47" t="str">
        <x:v>MARKET_REGIME_CONDITION|BROAD_EVENT_FROZEN_ENTRY</x:v>
      </x:c>
      <x:c r="F59" s="54" t="b">
        <x:v>0</x:v>
      </x:c>
      <x:c r="G59" s="54" t="b">
        <x:v>0</x:v>
      </x:c>
      <x:c r="H59" s="47" t="str">
        <x:v>MARKET_ECOLOGY_TRANSITION</x:v>
      </x:c>
      <x:c r="I59" s="47" t="str">
        <x:v>CURRENT_RELEASE_PREVIOUS_SESSION_GUARD</x:v>
      </x:c>
      <x:c r="J59" s="47" t="str">
        <x:v>DECLARED_STATE_BUT_NOT_CONSUMED</x:v>
      </x:c>
      <x:c r="K59" s="47" t="str">
        <x:v>PENDING_CODEX_SOURCE_UNIVERSE_JOIN</x:v>
      </x:c>
      <x:c r="L59" s="47" t="str">
        <x:v>active121::ctx_zls_strong</x:v>
      </x:c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7" t="str">
        <x:v>ctx_zls_ztjs</x:v>
      </x:c>
      <x:c r="B60" s="47" t="str">
        <x:v>market_ecology</x:v>
      </x:c>
      <x:c r="C60" s="47" t="str">
        <x:v>MARKET</x:v>
      </x:c>
      <x:c r="D60" s="47" t="str">
        <x:v>state-only</x:v>
      </x:c>
      <x:c r="E60" s="47" t="str">
        <x:v>MARKET_REGIME_CONDITION|BROAD_EVENT_FROZEN_ENTRY</x:v>
      </x:c>
      <x:c r="F60" s="54" t="b">
        <x:v>0</x:v>
      </x:c>
      <x:c r="G60" s="54" t="b">
        <x:v>0</x:v>
      </x:c>
      <x:c r="H60" s="47" t="str">
        <x:v>MARKET_ECOLOGY_TRANSITION</x:v>
      </x:c>
      <x:c r="I60" s="47" t="str">
        <x:v>CURRENT_RELEASE_PREVIOUS_SESSION_GUARD</x:v>
      </x:c>
      <x:c r="J60" s="47" t="str">
        <x:v>NOT_IN_MAIN_GENERATOR</x:v>
      </x:c>
      <x:c r="K60" s="47" t="str">
        <x:v>PENDING_CODEX_SOURCE_UNIVERSE_JOIN</x:v>
      </x:c>
      <x:c r="L60" s="47" t="str">
        <x:v>active121::ctx_zls_ztjs</x:v>
      </x:c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pageMargins left="0.7" right="0.7" top="0.75" bottom="0.75" header="0.3" footer="0.3"/>
  <x:tableParts count="1">
    <x:tablePart xmlns:r="http://schemas.openxmlformats.org/officeDocument/2006/relationships" r:id="R28b62661503748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>
      <x:c r="A1" s="44" t="str">
        <x:v>Route</x:v>
      </x:c>
      <x:c r="B1" s="44" t="str">
        <x:v>Entity scopes</x:v>
      </x:c>
      <x:c r="C1" s="44" t="str">
        <x:v>Temporal semantics</x:v>
      </x:c>
      <x:c r="D1" s="44" t="str">
        <x:v>Allowed operators</x:v>
      </x:c>
      <x:c r="E1" s="44" t="str">
        <x:v>Forbidden operators</x:v>
      </x:c>
      <x:c r="F1" s="44" t="str">
        <x:v>Support unit</x:v>
      </x:c>
      <x:c r="G1" s="44" t="str">
        <x:v>Maturity rule</x:v>
      </x:c>
      <x:c r="H1" s="44" t="str">
        <x:v>Matched control</x:v>
      </x:c>
      <x:c r="I1" s="44" t="str">
        <x:v>Identity unit</x:v>
      </x:c>
      <x:c r="J1" s="44" t="str">
        <x:v>Current status</x:v>
      </x:c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7" t="str">
        <x:v>MINUTE_STATIC</x:v>
      </x:c>
      <x:c r="B2" s="47" t="str">
        <x:v>STOCK</x:v>
      </x:c>
      <x:c r="C2" s="47" t="str">
        <x:v>BAR_VALUE</x:v>
      </x:c>
      <x:c r="D2" s="47" t="str">
        <x:v>CSRank|ZScore|Arithmetic|CrossSectionalResidual</x:v>
      </x:c>
      <x:c r="E2" s="47" t="str">
        <x:v>EventWindow|FutureWindow|DisclosureTransition</x:v>
      </x:c>
      <x:c r="F2" s="47" t="str">
        <x:v>stock-minute cross-section</x:v>
      </x:c>
      <x:c r="G2" s="47" t="str">
        <x:v>bar_close</x:v>
      </x:c>
      <x:c r="H2" s="47" t="str">
        <x:v>same fields, operator depth, horizon and cost; remove optional condition only</x:v>
      </x:c>
      <x:c r="I2" s="47" t="str">
        <x:v>exact signal on frozen coordinates</x:v>
      </x:c>
      <x:c r="J2" s="47" t="str">
        <x:v>IMPLEMENTED_PARTIAL</x:v>
      </x:c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47" t="str">
        <x:v>FIRSTN_PATH</x:v>
      </x:c>
      <x:c r="B3" s="47" t="str">
        <x:v>STOCK</x:v>
      </x:c>
      <x:c r="C3" s="47" t="str">
        <x:v>SESSION_VALUE|FIRSTN_MATURED</x:v>
      </x:c>
      <x:c r="D3" s="47" t="str">
        <x:v>CSRank|PathShape|OpeningGap|SignedPath|MeanReversion</x:v>
      </x:c>
      <x:c r="E3" s="47" t="str">
        <x:v>PreMaturityRead|EventWindow</x:v>
      </x:c>
      <x:c r="F3" s="47" t="str">
        <x:v>stock-session after firstN maturity</x:v>
      </x:c>
      <x:c r="G3" s="47" t="str">
        <x:v>firstN end timestamp</x:v>
      </x:c>
      <x:c r="H3" s="47" t="str">
        <x:v>same firstN field and maturity; matched raw-path control</x:v>
      </x:c>
      <x:c r="I3" s="47" t="str">
        <x:v>stock-session signal behavior</x:v>
      </x:c>
      <x:c r="J3" s="47" t="str">
        <x:v>IMPLEMENTED</x:v>
      </x:c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7" t="str">
        <x:v>SLOW_CROSS_SECTIONAL_LEVEL</x:v>
      </x:c>
      <x:c r="B4" s="47" t="str">
        <x:v>STOCK</x:v>
      </x:c>
      <x:c r="C4" s="47" t="str">
        <x:v>SLOW_LEVEL|LATCHED_OBSERVATION</x:v>
      </x:c>
      <x:c r="D4" s="47" t="str">
        <x:v>CSRank|Winsorize|IndustryNeutralize|SizeNeutralize|MaskedZScore</x:v>
      </x:c>
      <x:c r="E4" s="47" t="str">
        <x:v>MinuteDelta|MarketFieldCSRank|FutureRevision</x:v>
      </x:c>
      <x:c r="F4" s="47" t="str">
        <x:v>stock-session cross-section</x:v>
      </x:c>
      <x:c r="G4" s="47" t="str">
        <x:v>latest PIT-observable version before session</x:v>
      </x:c>
      <x:c r="H4" s="47" t="str">
        <x:v>same field, coverage mask, neutralization and complexity; remove conditioning only</x:v>
      </x:c>
      <x:c r="I4" s="47" t="str">
        <x:v>stock-session slow-state behavior</x:v>
      </x:c>
      <x:c r="J4" s="47" t="str">
        <x:v>PARTIALLY_WIRED_UNTYPED</x:v>
      </x:c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7" t="str">
        <x:v>SLOW_TEMPORAL_CHANGE</x:v>
      </x:c>
      <x:c r="B5" s="47" t="str">
        <x:v>STOCK</x:v>
      </x:c>
      <x:c r="C5" s="47" t="str">
        <x:v>SLOW_CHANGE|REVISION_AWARE_CHANGE</x:v>
      </x:c>
      <x:c r="D5" s="47" t="str">
        <x:v>Delta|Slope|Acceleration|Persistence|MultiScaleRelation|QoQ|YoY|TTMChange</x:v>
      </x:c>
      <x:c r="E5" s="47" t="str">
        <x:v>MinuteWindowOnSessionConstant|FutureRevision|UnqualifiedForwardFill</x:v>
      </x:c>
      <x:c r="F5" s="47" t="str">
        <x:v>stock-disclosure or stock-session change episode</x:v>
      </x:c>
      <x:c r="G5" s="47" t="str">
        <x:v>both source versions observable before action time</x:v>
      </x:c>
      <x:c r="H5" s="47" t="str">
        <x:v>same field versions, lookback, maturity and coverage; shuffled or level-only control</x:v>
      </x:c>
      <x:c r="I5" s="47" t="str">
        <x:v>slow-change episode behavior</x:v>
      </x:c>
      <x:c r="J5" s="47" t="str">
        <x:v>NOT_WIRED</x:v>
      </x:c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DISCLOSURE_EVENT</x:v>
      </x:c>
      <x:c r="B6" s="47" t="str">
        <x:v>STOCK</x:v>
      </x:c>
      <x:c r="C6" s="47" t="str">
        <x:v>EVENT_PULSE|LATCHED_OBSERVATION</x:v>
      </x:c>
      <x:c r="D6" s="47" t="str">
        <x:v>EventWindow|TimeSince|FirstHit|EventCount|PreEventPath|PostMaturityOutcome</x:v>
      </x:c>
      <x:c r="E6" s="47" t="str">
        <x:v>RepeatedLatchedMinuteVote|PreDisclosureRead|UnmaturedPostWindow</x:v>
      </x:c>
      <x:c r="F6" s="47" t="str">
        <x:v>unique disclosure episode</x:v>
      </x:c>
      <x:c r="G6" s="47" t="str">
        <x:v>observable disclosure time plus registered action delay</x:v>
      </x:c>
      <x:c r="H6" s="47" t="str">
        <x:v>same entity/date structure, fields, window and complexity; remove or placebo-shift trigger</x:v>
      </x:c>
      <x:c r="I6" s="47" t="str">
        <x:v>episode-level signal behavior</x:v>
      </x:c>
      <x:c r="J6" s="47" t="str">
        <x:v>PARTIALLY_IMPLEMENTED_VIA_BROAD_EVENT</x:v>
      </x:c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MARKET_REGIME_CONDITION</x:v>
      </x:c>
      <x:c r="B7" s="47" t="str">
        <x:v>MARKET|INDUSTRY|PLATE</x:v>
      </x:c>
      <x:c r="C7" s="47" t="str">
        <x:v>REGIME_STATE|REGIME_TRANSITION</x:v>
      </x:c>
      <x:c r="D7" s="47" t="str">
        <x:v>ConditionGate|Transition|StateAge|RegimeInteraction</x:v>
      </x:c>
      <x:c r="E7" s="47" t="str">
        <x:v>DirectStockCSRank|RepeatedStockVoteForSameMarketState</x:v>
      </x:c>
      <x:c r="F7" s="47" t="str">
        <x:v>market-time block</x:v>
      </x:c>
      <x:c r="G7" s="47" t="str">
        <x:v>state observable at or before candidate action time</x:v>
      </x:c>
      <x:c r="H7" s="47" t="str">
        <x:v>same stock signal and time blocks; remove regime gate or matched placebo regime</x:v>
      </x:c>
      <x:c r="I7" s="47" t="str">
        <x:v>conditioned stock behavior by market block</x:v>
      </x:c>
      <x:c r="J7" s="47" t="str">
        <x:v>NOT_WIRED_IN_STATE_EXPRESSIONS</x:v>
      </x:c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INTRADAY_STATE_TRANSITION</x:v>
      </x:c>
      <x:c r="B8" s="47" t="str">
        <x:v>STOCK</x:v>
      </x:c>
      <x:c r="C8" s="47" t="str">
        <x:v>LIFECYCLE_STATE|INTRADAY_DERIVED_STATE</x:v>
      </x:c>
      <x:c r="D8" s="47" t="str">
        <x:v>Transition|StateAge|Duration|ConditionedPath|StateResidual</x:v>
      </x:c>
      <x:c r="E8" s="47" t="str">
        <x:v>LatchedAsLifecycle|IntrabarOrderFabrication</x:v>
      </x:c>
      <x:c r="F8" s="47" t="str">
        <x:v>stock-state episode</x:v>
      </x:c>
      <x:c r="G8" s="47" t="str">
        <x:v>state transition observable from conservative bar evidence</x:v>
      </x:c>
      <x:c r="H8" s="47" t="str">
        <x:v>same raw field, window and complexity; remove state transition only</x:v>
      </x:c>
      <x:c r="I8" s="47" t="str">
        <x:v>state-episode behavior</x:v>
      </x:c>
      <x:c r="J8" s="47" t="str">
        <x:v>IMPLEMENTED_FOR_PRICE_DERIVED_STATE_ONLY</x:v>
      </x:c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BROAD_EVENT_FROZEN_ENTRY</x:v>
      </x:c>
      <x:c r="B9" s="47" t="str">
        <x:v>STOCK|MARKET</x:v>
      </x:c>
      <x:c r="C9" s="47" t="str">
        <x:v>EVENT_PULSE|LIFECYCLE_STATE|REGIME_TRANSITION</x:v>
      </x:c>
      <x:c r="D9" s="47" t="str">
        <x:v>FrozenMechanismReplay|MatchedControlReplay|BehaviorClusterAdmission</x:v>
      </x:c>
      <x:c r="E9" s="47" t="str">
        <x:v>OnlineRefit|CrossSprintMemory|AutomaticPromotion</x:v>
      </x:c>
      <x:c r="F9" s="47" t="str">
        <x:v>frozen event episode</x:v>
      </x:c>
      <x:c r="G9" s="47" t="str">
        <x:v>per semantic registry and frozen entry pack</x:v>
      </x:c>
      <x:c r="H9" s="47" t="str">
        <x:v>frozen mechanism-specific matched controls</x:v>
      </x:c>
      <x:c r="I9" s="47" t="str">
        <x:v>frozen mechanism and behavior-cluster identity</x:v>
      </x:c>
      <x:c r="J9" s="47" t="str">
        <x:v>DISCOVERY_ENTRY_AUTHORIZED_NO_PROMOTION</x:v>
      </x:c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pageMargins left="0.7" right="0.7" top="0.75" bottom="0.75" header="0.3" footer="0.3"/>
  <x:tableParts count="1">
    <x:tablePart xmlns:r="http://schemas.openxmlformats.org/officeDocument/2006/relationships" r:id="R175b4443c5bc42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34" hidden="0" customWidth="1"/>
    <x:col min="4" max="4" width="42" hidden="0" customWidth="1"/>
  </x:cols>
  <x:sheetData>
    <x:row r="1">
      <x:c r="A1" s="44" t="str">
        <x:v>Table</x:v>
      </x:c>
      <x:c r="B1" s="44" t="str">
        <x:v>Primary key</x:v>
      </x:c>
      <x:c r="C1" s="44" t="str">
        <x:v>Column</x:v>
      </x:c>
      <x:c r="D1" s="44" t="str">
        <x:v>Purpose</x:v>
      </x:c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7" t="str">
        <x:v>candidate_field_lineage</x:v>
      </x:c>
      <x:c r="B2" s="47" t="str">
        <x:v>run_id|candidate_id|field_id|representation_id|operator_path</x:v>
      </x:c>
      <x:c r="C2" s="47" t="str">
        <x:v>run_id</x:v>
      </x:c>
      <x:c r="D2" s="47" t="str">
        <x:v>Candidate-to-field/operator provenance</x:v>
      </x:c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47" t="str">
        <x:v>candidate_field_lineage</x:v>
      </x:c>
      <x:c r="B3" s="47" t="str">
        <x:v>run_id|candidate_id|field_id|representation_id|operator_path</x:v>
      </x:c>
      <x:c r="C3" s="47" t="str">
        <x:v>repo_sha</x:v>
      </x:c>
      <x:c r="D3" s="47" t="str">
        <x:v>Candidate-to-field/operator provenance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7" t="str">
        <x:v>candidate_field_lineage</x:v>
      </x:c>
      <x:c r="B4" s="47" t="str">
        <x:v>run_id|candidate_id|field_id|representation_id|operator_path</x:v>
      </x:c>
      <x:c r="C4" s="47" t="str">
        <x:v>contract_hash</x:v>
      </x:c>
      <x:c r="D4" s="47" t="str">
        <x:v>Candidate-to-field/operator provenance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7" t="str">
        <x:v>candidate_field_lineage</x:v>
      </x:c>
      <x:c r="B5" s="47" t="str">
        <x:v>run_id|candidate_id|field_id|representation_id|operator_path</x:v>
      </x:c>
      <x:c r="C5" s="47" t="str">
        <x:v>data_release_hash</x:v>
      </x:c>
      <x:c r="D5" s="47" t="str">
        <x:v>Candidate-to-field/operator provenance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candidate_field_lineage</x:v>
      </x:c>
      <x:c r="B6" s="47" t="str">
        <x:v>run_id|candidate_id|field_id|representation_id|operator_path</x:v>
      </x:c>
      <x:c r="C6" s="47" t="str">
        <x:v>candidate_id</x:v>
      </x:c>
      <x:c r="D6" s="47" t="str">
        <x:v>Candidate-to-field/operator provenance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candidate_field_lineage</x:v>
      </x:c>
      <x:c r="B7" s="47" t="str">
        <x:v>run_id|candidate_id|field_id|representation_id|operator_path</x:v>
      </x:c>
      <x:c r="C7" s="47" t="str">
        <x:v>exact_identity</x:v>
      </x:c>
      <x:c r="D7" s="47" t="str">
        <x:v>Candidate-to-field/operator provenance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candidate_field_lineage</x:v>
      </x:c>
      <x:c r="B8" s="47" t="str">
        <x:v>run_id|candidate_id|field_id|representation_id|operator_path</x:v>
      </x:c>
      <x:c r="C8" s="47" t="str">
        <x:v>behavior_identity</x:v>
      </x:c>
      <x:c r="D8" s="47" t="str">
        <x:v>Candidate-to-field/operator provenance</x:v>
      </x:c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candidate_field_lineage</x:v>
      </x:c>
      <x:c r="B9" s="47" t="str">
        <x:v>run_id|candidate_id|field_id|representation_id|operator_path</x:v>
      </x:c>
      <x:c r="C9" s="47" t="str">
        <x:v>route_id</x:v>
      </x:c>
      <x:c r="D9" s="47" t="str">
        <x:v>Candidate-to-field/operator provenance</x:v>
      </x:c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candidate_field_lineage</x:v>
      </x:c>
      <x:c r="B10" s="47" t="str">
        <x:v>run_id|candidate_id|field_id|representation_id|operator_path</x:v>
      </x:c>
      <x:c r="C10" s="47" t="str">
        <x:v>field_id</x:v>
      </x:c>
      <x:c r="D10" s="47" t="str">
        <x:v>Candidate-to-field/operator provenance</x:v>
      </x:c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candidate_field_lineage</x:v>
      </x:c>
      <x:c r="B11" s="47" t="str">
        <x:v>run_id|candidate_id|field_id|representation_id|operator_path</x:v>
      </x:c>
      <x:c r="C11" s="47" t="str">
        <x:v>source_field_id</x:v>
      </x:c>
      <x:c r="D11" s="47" t="str">
        <x:v>Candidate-to-field/operator provenance</x:v>
      </x:c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candidate_field_lineage</x:v>
      </x:c>
      <x:c r="B12" s="47" t="str">
        <x:v>run_id|candidate_id|field_id|representation_id|operator_path</x:v>
      </x:c>
      <x:c r="C12" s="47" t="str">
        <x:v>representation_id</x:v>
      </x:c>
      <x:c r="D12" s="47" t="str">
        <x:v>Candidate-to-field/operator provenance</x:v>
      </x:c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7" t="str">
        <x:v>candidate_field_lineage</x:v>
      </x:c>
      <x:c r="B13" s="47" t="str">
        <x:v>run_id|candidate_id|field_id|representation_id|operator_path</x:v>
      </x:c>
      <x:c r="C13" s="47" t="str">
        <x:v>entity_scope</x:v>
      </x:c>
      <x:c r="D13" s="47" t="str">
        <x:v>Candidate-to-field/operator provenance</x:v>
      </x:c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7" t="str">
        <x:v>candidate_field_lineage</x:v>
      </x:c>
      <x:c r="B14" s="47" t="str">
        <x:v>run_id|candidate_id|field_id|representation_id|operator_path</x:v>
      </x:c>
      <x:c r="C14" s="47" t="str">
        <x:v>temporal_semantics</x:v>
      </x:c>
      <x:c r="D14" s="47" t="str">
        <x:v>Candidate-to-field/operator provenance</x:v>
      </x:c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7" t="str">
        <x:v>candidate_field_lineage</x:v>
      </x:c>
      <x:c r="B15" s="47" t="str">
        <x:v>run_id|candidate_id|field_id|representation_id|operator_path</x:v>
      </x:c>
      <x:c r="C15" s="47" t="str">
        <x:v>operator_family</x:v>
      </x:c>
      <x:c r="D15" s="47" t="str">
        <x:v>Candidate-to-field/operator provenance</x:v>
      </x:c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7" t="str">
        <x:v>candidate_field_lineage</x:v>
      </x:c>
      <x:c r="B16" s="47" t="str">
        <x:v>run_id|candidate_id|field_id|representation_id|operator_path</x:v>
      </x:c>
      <x:c r="C16" s="47" t="str">
        <x:v>operator_path</x:v>
      </x:c>
      <x:c r="D16" s="47" t="str">
        <x:v>Candidate-to-field/operator provenance</x:v>
      </x:c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7" t="str">
        <x:v>candidate_field_lineage</x:v>
      </x:c>
      <x:c r="B17" s="47" t="str">
        <x:v>run_id|candidate_id|field_id|representation_id|operator_path</x:v>
      </x:c>
      <x:c r="C17" s="47" t="str">
        <x:v>maturity_rule</x:v>
      </x:c>
      <x:c r="D17" s="47" t="str">
        <x:v>Candidate-to-field/operator provenance</x:v>
      </x:c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7" t="str">
        <x:v>candidate_field_lineage</x:v>
      </x:c>
      <x:c r="B18" s="47" t="str">
        <x:v>run_id|candidate_id|field_id|representation_id|operator_path</x:v>
      </x:c>
      <x:c r="C18" s="47" t="str">
        <x:v>support_unit</x:v>
      </x:c>
      <x:c r="D18" s="47" t="str">
        <x:v>Candidate-to-field/operator provenance</x:v>
      </x:c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7" t="str">
        <x:v>candidate_field_lineage</x:v>
      </x:c>
      <x:c r="B19" s="47" t="str">
        <x:v>run_id|candidate_id|field_id|representation_id|operator_path</x:v>
      </x:c>
      <x:c r="C19" s="47" t="str">
        <x:v>matched_control_id</x:v>
      </x:c>
      <x:c r="D19" s="47" t="str">
        <x:v>Candidate-to-field/operator provenance</x:v>
      </x:c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7" t="str">
        <x:v>candidate_field_lineage</x:v>
      </x:c>
      <x:c r="B20" s="47" t="str">
        <x:v>run_id|candidate_id|field_id|representation_id|operator_path</x:v>
      </x:c>
      <x:c r="C20" s="47" t="str">
        <x:v>proposal_origin</x:v>
      </x:c>
      <x:c r="D20" s="47" t="str">
        <x:v>Candidate-to-field/operator provenance</x:v>
      </x:c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7" t="str">
        <x:v>candidate_field_lineage</x:v>
      </x:c>
      <x:c r="B21" s="47" t="str">
        <x:v>run_id|candidate_id|field_id|representation_id|operator_path</x:v>
      </x:c>
      <x:c r="C21" s="47" t="str">
        <x:v>seed</x:v>
      </x:c>
      <x:c r="D21" s="47" t="str">
        <x:v>Candidate-to-field/operator provenance</x:v>
      </x:c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7" t="str">
        <x:v>candidate_field_lineage</x:v>
      </x:c>
      <x:c r="B22" s="47" t="str">
        <x:v>run_id|candidate_id|field_id|representation_id|operator_path</x:v>
      </x:c>
      <x:c r="C22" s="47" t="str">
        <x:v>access_role</x:v>
      </x:c>
      <x:c r="D22" s="47" t="str">
        <x:v>Candidate-to-field/operator provenance</x:v>
      </x:c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7" t="str">
        <x:v>field_route_stage_summary</x:v>
      </x:c>
      <x:c r="B23" s="47" t="str">
        <x:v>run_id|field_id|route_id|operator_family</x:v>
      </x:c>
      <x:c r="C23" s="47" t="str">
        <x:v>run_id</x:v>
      </x:c>
      <x:c r="D23" s="47" t="str">
        <x:v>Actual proposal→strict exposure counts</x:v>
      </x:c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7" t="str">
        <x:v>field_route_stage_summary</x:v>
      </x:c>
      <x:c r="B24" s="47" t="str">
        <x:v>run_id|field_id|route_id|operator_family</x:v>
      </x:c>
      <x:c r="C24" s="47" t="str">
        <x:v>field_id</x:v>
      </x:c>
      <x:c r="D24" s="47" t="str">
        <x:v>Actual proposal→strict exposure counts</x:v>
      </x:c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7" t="str">
        <x:v>field_route_stage_summary</x:v>
      </x:c>
      <x:c r="B25" s="47" t="str">
        <x:v>run_id|field_id|route_id|operator_family</x:v>
      </x:c>
      <x:c r="C25" s="47" t="str">
        <x:v>source_field_id</x:v>
      </x:c>
      <x:c r="D25" s="47" t="str">
        <x:v>Actual proposal→strict exposure counts</x:v>
      </x:c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7" t="str">
        <x:v>field_route_stage_summary</x:v>
      </x:c>
      <x:c r="B26" s="47" t="str">
        <x:v>run_id|field_id|route_id|operator_family</x:v>
      </x:c>
      <x:c r="C26" s="47" t="str">
        <x:v>source_family</x:v>
      </x:c>
      <x:c r="D26" s="47" t="str">
        <x:v>Actual proposal→strict exposure counts</x:v>
      </x:c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7" t="str">
        <x:v>field_route_stage_summary</x:v>
      </x:c>
      <x:c r="B27" s="47" t="str">
        <x:v>run_id|field_id|route_id|operator_family</x:v>
      </x:c>
      <x:c r="C27" s="47" t="str">
        <x:v>route_id</x:v>
      </x:c>
      <x:c r="D27" s="47" t="str">
        <x:v>Actual proposal→strict exposure counts</x:v>
      </x:c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7" t="str">
        <x:v>field_route_stage_summary</x:v>
      </x:c>
      <x:c r="B28" s="47" t="str">
        <x:v>run_id|field_id|route_id|operator_family</x:v>
      </x:c>
      <x:c r="C28" s="47" t="str">
        <x:v>operator_family</x:v>
      </x:c>
      <x:c r="D28" s="47" t="str">
        <x:v>Actual proposal→strict exposure counts</x:v>
      </x:c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7" t="str">
        <x:v>field_route_stage_summary</x:v>
      </x:c>
      <x:c r="B29" s="47" t="str">
        <x:v>run_id|field_id|route_id|operator_family</x:v>
      </x:c>
      <x:c r="C29" s="47" t="str">
        <x:v>proposal_count</x:v>
      </x:c>
      <x:c r="D29" s="47" t="str">
        <x:v>Actual proposal→strict exposure counts</x:v>
      </x:c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7" t="str">
        <x:v>field_route_stage_summary</x:v>
      </x:c>
      <x:c r="B30" s="47" t="str">
        <x:v>run_id|field_id|route_id|operator_family</x:v>
      </x:c>
      <x:c r="C30" s="47" t="str">
        <x:v>legal_count</x:v>
      </x:c>
      <x:c r="D30" s="47" t="str">
        <x:v>Actual proposal→strict exposure counts</x:v>
      </x:c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7" t="str">
        <x:v>field_route_stage_summary</x:v>
      </x:c>
      <x:c r="B31" s="47" t="str">
        <x:v>run_id|field_id|route_id|operator_family</x:v>
      </x:c>
      <x:c r="C31" s="47" t="str">
        <x:v>canonical_count</x:v>
      </x:c>
      <x:c r="D31" s="47" t="str">
        <x:v>Actual proposal→strict exposure counts</x:v>
      </x:c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7" t="str">
        <x:v>field_route_stage_summary</x:v>
      </x:c>
      <x:c r="B32" s="47" t="str">
        <x:v>run_id|field_id|route_id|operator_family</x:v>
      </x:c>
      <x:c r="C32" s="47" t="str">
        <x:v>exact_count</x:v>
      </x:c>
      <x:c r="D32" s="47" t="str">
        <x:v>Actual proposal→strict exposure counts</x:v>
      </x:c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7" t="str">
        <x:v>field_route_stage_summary</x:v>
      </x:c>
      <x:c r="B33" s="47" t="str">
        <x:v>run_id|field_id|route_id|operator_family</x:v>
      </x:c>
      <x:c r="C33" s="47" t="str">
        <x:v>admission_count</x:v>
      </x:c>
      <x:c r="D33" s="47" t="str">
        <x:v>Actual proposal→strict exposure counts</x:v>
      </x:c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7" t="str">
        <x:v>field_route_stage_summary</x:v>
      </x:c>
      <x:c r="B34" s="47" t="str">
        <x:v>run_id|field_id|route_id|operator_family</x:v>
      </x:c>
      <x:c r="C34" s="47" t="str">
        <x:v>strict_count</x:v>
      </x:c>
      <x:c r="D34" s="47" t="str">
        <x:v>Actual proposal→strict exposure counts</x:v>
      </x:c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7" t="str">
        <x:v>field_route_stage_summary</x:v>
      </x:c>
      <x:c r="B35" s="47" t="str">
        <x:v>run_id|field_id|route_id|operator_family</x:v>
      </x:c>
      <x:c r="C35" s="47" t="str">
        <x:v>survivor_count</x:v>
      </x:c>
      <x:c r="D35" s="47" t="str">
        <x:v>Actual proposal→strict exposure counts</x:v>
      </x:c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7" t="str">
        <x:v>field_route_stage_summary</x:v>
      </x:c>
      <x:c r="B36" s="47" t="str">
        <x:v>run_id|field_id|route_id|operator_family</x:v>
      </x:c>
      <x:c r="C36" s="47" t="str">
        <x:v>behavior_cluster_count</x:v>
      </x:c>
      <x:c r="D36" s="47" t="str">
        <x:v>Actual proposal→strict exposure counts</x:v>
      </x:c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7" t="str">
        <x:v>field_route_stage_summary</x:v>
      </x:c>
      <x:c r="B37" s="47" t="str">
        <x:v>run_id|field_id|route_id|operator_family</x:v>
      </x:c>
      <x:c r="C37" s="47" t="str">
        <x:v>matched_control_count</x:v>
      </x:c>
      <x:c r="D37" s="47" t="str">
        <x:v>Actual proposal→strict exposure counts</x:v>
      </x:c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7" t="str">
        <x:v>field_route_stage_summary</x:v>
      </x:c>
      <x:c r="B38" s="47" t="str">
        <x:v>run_id|field_id|route_id|operator_family</x:v>
      </x:c>
      <x:c r="C38" s="47" t="str">
        <x:v>development_increment_positive_count</x:v>
      </x:c>
      <x:c r="D38" s="47" t="str">
        <x:v>Actual proposal→strict exposure counts</x:v>
      </x:c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7" t="str">
        <x:v>field_route_stage_summary</x:v>
      </x:c>
      <x:c r="B39" s="47" t="str">
        <x:v>run_id|field_id|route_id|operator_family</x:v>
      </x:c>
      <x:c r="C39" s="47" t="str">
        <x:v>challenge_count</x:v>
      </x:c>
      <x:c r="D39" s="47" t="str">
        <x:v>Actual proposal→strict exposure counts</x:v>
      </x:c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7" t="str">
        <x:v>field_route_stage_summary</x:v>
      </x:c>
      <x:c r="B40" s="47" t="str">
        <x:v>run_id|field_id|route_id|operator_family</x:v>
      </x:c>
      <x:c r="C40" s="47" t="str">
        <x:v>forward_count</x:v>
      </x:c>
      <x:c r="D40" s="47" t="str">
        <x:v>Actual proposal→strict exposure counts</x:v>
      </x:c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7" t="str">
        <x:v>field_route_stage_summary</x:v>
      </x:c>
      <x:c r="B41" s="47" t="str">
        <x:v>run_id|field_id|route_id|operator_family</x:v>
      </x:c>
      <x:c r="C41" s="47" t="str">
        <x:v>zero_budget</x:v>
      </x:c>
      <x:c r="D41" s="47" t="str">
        <x:v>Actual proposal→strict exposure counts</x:v>
      </x:c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7" t="str">
        <x:v>field_route_stage_summary</x:v>
      </x:c>
      <x:c r="B42" s="47" t="str">
        <x:v>run_id|field_id|route_id|operator_family</x:v>
      </x:c>
      <x:c r="C42" s="47" t="str">
        <x:v>not_executed_reason</x:v>
      </x:c>
      <x:c r="D42" s="47" t="str">
        <x:v>Actual proposal→strict exposure counts</x:v>
      </x:c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7" t="str">
        <x:v>lane_capability_summary</x:v>
      </x:c>
      <x:c r="B43" s="47" t="str">
        <x:v>run_id|route_id</x:v>
      </x:c>
      <x:c r="C43" s="47" t="str">
        <x:v>run_id</x:v>
      </x:c>
      <x:c r="D43" s="47" t="str">
        <x:v>Route-level capability coverage and claim ceiling</x:v>
      </x:c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7" t="str">
        <x:v>lane_capability_summary</x:v>
      </x:c>
      <x:c r="B44" s="47" t="str">
        <x:v>run_id|route_id</x:v>
      </x:c>
      <x:c r="C44" s="47" t="str">
        <x:v>route_id</x:v>
      </x:c>
      <x:c r="D44" s="47" t="str">
        <x:v>Route-level capability coverage and claim ceiling</x:v>
      </x:c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7" t="str">
        <x:v>lane_capability_summary</x:v>
      </x:c>
      <x:c r="B45" s="47" t="str">
        <x:v>run_id|route_id</x:v>
      </x:c>
      <x:c r="C45" s="47" t="str">
        <x:v>qualified_field_count</x:v>
      </x:c>
      <x:c r="D45" s="47" t="str">
        <x:v>Route-level capability coverage and claim ceiling</x:v>
      </x:c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7" t="str">
        <x:v>lane_capability_summary</x:v>
      </x:c>
      <x:c r="B46" s="47" t="str">
        <x:v>run_id|route_id</x:v>
      </x:c>
      <x:c r="C46" s="47" t="str">
        <x:v>wired_field_count</x:v>
      </x:c>
      <x:c r="D46" s="47" t="str">
        <x:v>Route-level capability coverage and claim ceiling</x:v>
      </x:c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7" t="str">
        <x:v>lane_capability_summary</x:v>
      </x:c>
      <x:c r="B47" s="47" t="str">
        <x:v>run_id|route_id</x:v>
      </x:c>
      <x:c r="C47" s="47" t="str">
        <x:v>proposal_exposed_field_count</x:v>
      </x:c>
      <x:c r="D47" s="47" t="str">
        <x:v>Route-level capability coverage and claim ceiling</x:v>
      </x:c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7" t="str">
        <x:v>lane_capability_summary</x:v>
      </x:c>
      <x:c r="B48" s="47" t="str">
        <x:v>run_id|route_id</x:v>
      </x:c>
      <x:c r="C48" s="47" t="str">
        <x:v>strict_exposed_field_count</x:v>
      </x:c>
      <x:c r="D48" s="47" t="str">
        <x:v>Route-level capability coverage and claim ceiling</x:v>
      </x:c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7" t="str">
        <x:v>lane_capability_summary</x:v>
      </x:c>
      <x:c r="B49" s="47" t="str">
        <x:v>run_id|route_id</x:v>
      </x:c>
      <x:c r="C49" s="47" t="str">
        <x:v>survivor_field_count</x:v>
      </x:c>
      <x:c r="D49" s="47" t="str">
        <x:v>Route-level capability coverage and claim ceiling</x:v>
      </x:c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7" t="str">
        <x:v>lane_capability_summary</x:v>
      </x:c>
      <x:c r="B50" s="47" t="str">
        <x:v>run_id|route_id</x:v>
      </x:c>
      <x:c r="C50" s="47" t="str">
        <x:v>untested_field_count</x:v>
      </x:c>
      <x:c r="D50" s="47" t="str">
        <x:v>Route-level capability coverage and claim ceiling</x:v>
      </x:c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7" t="str">
        <x:v>lane_capability_summary</x:v>
      </x:c>
      <x:c r="B51" s="47" t="str">
        <x:v>run_id|route_id</x:v>
      </x:c>
      <x:c r="C51" s="47" t="str">
        <x:v>matched_control_completion_rate</x:v>
      </x:c>
      <x:c r="D51" s="47" t="str">
        <x:v>Route-level capability coverage and claim ceiling</x:v>
      </x:c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7" t="str">
        <x:v>lane_capability_summary</x:v>
      </x:c>
      <x:c r="B52" s="47" t="str">
        <x:v>run_id|route_id</x:v>
      </x:c>
      <x:c r="C52" s="47" t="str">
        <x:v>forbidden_read_count</x:v>
      </x:c>
      <x:c r="D52" s="47" t="str">
        <x:v>Route-level capability coverage and claim ceiling</x:v>
      </x:c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7" t="str">
        <x:v>lane_capability_summary</x:v>
      </x:c>
      <x:c r="B53" s="47" t="str">
        <x:v>run_id|route_id</x:v>
      </x:c>
      <x:c r="C53" s="47" t="str">
        <x:v>claim_ceiling</x:v>
      </x:c>
      <x:c r="D53" s="47" t="str">
        <x:v>Route-level capability coverage and claim ceiling</x:v>
      </x:c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pageMargins left="0.7" right="0.7" top="0.75" bottom="0.75" header="0.3" footer="0.3"/>
  <x:tableParts count="1">
    <x:tablePart xmlns:r="http://schemas.openxmlformats.org/officeDocument/2006/relationships" r:id="R226c77442ffc44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9" hidden="0" customWidth="1"/>
    <x:col min="4" max="4" width="9.130000114440918" hidden="0" customWidth="1"/>
    <x:col min="5" max="5" width="14.25" hidden="0" customWidth="1"/>
    <x:col min="6" max="6" width="14.630000114440918" hidden="0" customWidth="1"/>
    <x:col min="7" max="7" width="13.880000114440918" hidden="0" customWidth="1"/>
    <x:col min="8" max="8" width="9.5" hidden="0" customWidth="1"/>
    <x:col min="9" max="9" width="34" hidden="0" customWidth="1"/>
    <x:col min="10" max="10" width="34" hidden="0" customWidth="1"/>
    <x:col min="11" max="11" width="15.130000114440918" hidden="0" customWidth="1"/>
    <x:col min="12" max="12" width="22.1299991607666" hidden="0" customWidth="1"/>
  </x:cols>
  <x:sheetData>
    <x:row r="1">
      <x:c r="A1" s="44" t="str">
        <x:v>Mechanism</x:v>
      </x:c>
      <x:c r="B1" s="44" t="str">
        <x:v>Source</x:v>
      </x:c>
      <x:c r="C1" s="44" t="str">
        <x:v>Horizon</x:v>
      </x:c>
      <x:c r="D1" s="44" t="str">
        <x:v>Support</x:v>
      </x:c>
      <x:c r="E1" s="44" t="str">
        <x:v>Min increment</x:v>
      </x:c>
      <x:c r="F1" s="44" t="str">
        <x:v>Max increment</x:v>
      </x:c>
      <x:c r="G1" s="44" t="str">
        <x:v>Transform</x:v>
      </x:c>
      <x:c r="H1" s="44" t="str">
        <x:v>Variant</x:v>
      </x:c>
      <x:c r="I1" s="44" t="str">
        <x:v>Current tier</x:v>
      </x:c>
      <x:c r="J1" s="44" t="str">
        <x:v>Next action</x:v>
      </x:c>
      <x:c r="K1" s="44" t="str">
        <x:v>Descendant cap</x:v>
      </x:c>
      <x:c r="L1" s="44" t="str">
        <x:v>Cross-source comparable</x:v>
      </x:c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7" t="str">
        <x:v>01166fdd6c3a2aab</x:v>
      </x:c>
      <x:c r="B2" s="47" t="str">
        <x:v>HOTNESS_CHANGE</x:v>
      </x:c>
      <x:c r="C2" s="47" t="n">
        <x:v>15</x:v>
      </x:c>
      <x:c r="D2" s="47" t="n">
        <x:v>590</x:v>
      </x:c>
      <x:c r="E2" s="56" t="n">
        <x:v>0.0056719723143424</x:v>
      </x:c>
      <x:c r="F2" s="56" t="n">
        <x:v>0.0056719723143424</x:v>
      </x:c>
      <x:c r="G2" s="47" t="str">
        <x:v>intensity</x:v>
      </x:c>
      <x:c r="H2" s="47" t="str">
        <x:v>raw</x:v>
      </x:c>
      <x:c r="I2" s="47" t="str">
        <x:v>A_ORDER_OF_MAGNITUDE_PRIORITY</x:v>
      </x:c>
      <x:c r="J2" s="47" t="str">
        <x:v>FULL_SHARD_CALIBRATION_PRIMARY_ROOT</x:v>
      </x:c>
      <x:c r="K2" s="47" t="n">
        <x:v>2</x:v>
      </x:c>
      <x:c r="L2" s="57" t="b">
        <x:v>0</x:v>
      </x:c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47" t="str">
        <x:v>16c53855e757c585</x:v>
      </x:c>
      <x:c r="B3" s="47" t="str">
        <x:v>CHIP_STRUCTURE_CHANGE</x:v>
      </x:c>
      <x:c r="C3" s="47" t="n">
        <x:v>30</x:v>
      </x:c>
      <x:c r="D3" s="47" t="n">
        <x:v>171178</x:v>
      </x:c>
      <x:c r="E3" s="56" t="n">
        <x:v>0.0001673799473269</x:v>
      </x:c>
      <x:c r="F3" s="56" t="n">
        <x:v>0.0001700355057003</x:v>
      </x:c>
      <x:c r="G3" s="47" t="str">
        <x:v>intensity</x:v>
      </x:c>
      <x:c r="H3" s="47" t="str">
        <x:v>compressed</x:v>
      </x:c>
      <x:c r="I3" s="47" t="str">
        <x:v>B_MODERATE_EXPLORATORY</x:v>
      </x:c>
      <x:c r="J3" s="47" t="str">
        <x:v>FULL_SHARD_CALIBRATION_EXPLORATORY_ROOT</x:v>
      </x:c>
      <x:c r="K3" s="47" t="n">
        <x:v>1</x:v>
      </x:c>
      <x:c r="L3" s="57" t="b">
        <x:v>0</x:v>
      </x:c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7" t="str">
        <x:v>4fbf6cc691461c6c</x:v>
      </x:c>
      <x:c r="B4" s="47" t="str">
        <x:v>MARKET_ECOLOGY_TRANSITION</x:v>
      </x:c>
      <x:c r="C4" s="47" t="n">
        <x:v>5</x:v>
      </x:c>
      <x:c r="D4" s="47" t="n">
        <x:v>362</x:v>
      </x:c>
      <x:c r="E4" s="56" t="n">
        <x:v>0.0070284262493116</x:v>
      </x:c>
      <x:c r="F4" s="56" t="n">
        <x:v>0.0076101371971267</x:v>
      </x:c>
      <x:c r="G4" s="47" t="str">
        <x:v>pre15_interaction</x:v>
      </x:c>
      <x:c r="H4" s="47" t="str">
        <x:v>raw</x:v>
      </x:c>
      <x:c r="I4" s="47" t="str">
        <x:v>A_ORDER_OF_MAGNITUDE_PRIORITY</x:v>
      </x:c>
      <x:c r="J4" s="47" t="str">
        <x:v>FULL_SHARD_CALIBRATION_PRIMARY_ROOT</x:v>
      </x:c>
      <x:c r="K4" s="47" t="n">
        <x:v>2</x:v>
      </x:c>
      <x:c r="L4" s="57" t="b">
        <x:v>0</x:v>
      </x:c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7" t="str">
        <x:v>7b391e59670c491e</x:v>
      </x:c>
      <x:c r="B5" s="47" t="str">
        <x:v>MARKET_ECOLOGY_TRANSITION</x:v>
      </x:c>
      <x:c r="C5" s="47" t="n">
        <x:v>15</x:v>
      </x:c>
      <x:c r="D5" s="47" t="n">
        <x:v>362</x:v>
      </x:c>
      <x:c r="E5" s="56" t="n">
        <x:v>0.0003395115161754</x:v>
      </x:c>
      <x:c r="F5" s="56" t="n">
        <x:v>0.0003874357580155</x:v>
      </x:c>
      <x:c r="G5" s="47" t="str">
        <x:v>pre5_interaction</x:v>
      </x:c>
      <x:c r="H5" s="47" t="str">
        <x:v>compressed</x:v>
      </x:c>
      <x:c r="I5" s="47" t="str">
        <x:v>B_MODERATE_EXPLORATORY</x:v>
      </x:c>
      <x:c r="J5" s="47" t="str">
        <x:v>FULL_SHARD_CALIBRATION_EXPLORATORY_ROOT</x:v>
      </x:c>
      <x:c r="K5" s="47" t="n">
        <x:v>1</x:v>
      </x:c>
      <x:c r="L5" s="57" t="b">
        <x:v>0</x:v>
      </x:c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8a64cdfefa6bcc35</x:v>
      </x:c>
      <x:c r="B6" s="47" t="str">
        <x:v>CHIP_STRUCTURE_CHANGE</x:v>
      </x:c>
      <x:c r="C6" s="47" t="n">
        <x:v>5</x:v>
      </x:c>
      <x:c r="D6" s="47" t="n">
        <x:v>171178</x:v>
      </x:c>
      <x:c r="E6" s="56" t="n">
        <x:v>0.0000014021146102738457</x:v>
      </x:c>
      <x:c r="F6" s="56" t="n">
        <x:v>0.0000014021146102738457</x:v>
      </x:c>
      <x:c r="G6" s="47" t="str">
        <x:v>pre15_interaction</x:v>
      </x:c>
      <x:c r="H6" s="47" t="str">
        <x:v>compressed</x:v>
      </x:c>
      <x:c r="I6" s="47" t="str">
        <x:v>C_TRACE_INCREMENT</x:v>
      </x:c>
      <x:c r="J6" s="47" t="str">
        <x:v>ARCHIVE_AND_FIXED_CONTROL_ONLY</x:v>
      </x:c>
      <x:c r="K6" s="47" t="n">
        <x:v>0</x:v>
      </x:c>
      <x:c r="L6" s="57" t="b">
        <x:v>0</x:v>
      </x:c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9041949344c58bcf</x:v>
      </x:c>
      <x:c r="B7" s="47" t="str">
        <x:v>BILLBOARD_CHANGE</x:v>
      </x:c>
      <x:c r="C7" s="47" t="n">
        <x:v>15</x:v>
      </x:c>
      <x:c r="D7" s="47" t="n">
        <x:v>1837</x:v>
      </x:c>
      <x:c r="E7" s="56" t="n">
        <x:v>0.0004574208721623</x:v>
      </x:c>
      <x:c r="F7" s="56" t="n">
        <x:v>0.0011591913723292</x:v>
      </x:c>
      <x:c r="G7" s="47" t="str">
        <x:v>direction</x:v>
      </x:c>
      <x:c r="H7" s="47" t="str">
        <x:v>raw</x:v>
      </x:c>
      <x:c r="I7" s="47" t="str">
        <x:v>B_MODERATE_EXPLORATORY</x:v>
      </x:c>
      <x:c r="J7" s="47" t="str">
        <x:v>FULL_SHARD_CALIBRATION_EXPLORATORY_ROOT</x:v>
      </x:c>
      <x:c r="K7" s="47" t="n">
        <x:v>1</x:v>
      </x:c>
      <x:c r="L7" s="57" t="b">
        <x:v>0</x:v>
      </x:c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7" t="str">
        <x:v>9618ee1100155073</x:v>
      </x:c>
      <x:c r="B8" s="47" t="str">
        <x:v>CHIP_STRUCTURE_CHANGE</x:v>
      </x:c>
      <x:c r="C8" s="47" t="n">
        <x:v>30</x:v>
      </x:c>
      <x:c r="D8" s="47" t="n">
        <x:v>171178</x:v>
      </x:c>
      <x:c r="E8" s="56" t="n">
        <x:v>0.000005781420493814475</x:v>
      </x:c>
      <x:c r="F8" s="56" t="n">
        <x:v>0.000005781420493814475</x:v>
      </x:c>
      <x:c r="G8" s="47" t="str">
        <x:v>pre15_interaction</x:v>
      </x:c>
      <x:c r="H8" s="47" t="str">
        <x:v>raw</x:v>
      </x:c>
      <x:c r="I8" s="47" t="str">
        <x:v>C_TRACE_INCREMENT</x:v>
      </x:c>
      <x:c r="J8" s="47" t="str">
        <x:v>ARCHIVE_AND_FIXED_CONTROL_ONLY</x:v>
      </x:c>
      <x:c r="K8" s="47" t="n">
        <x:v>0</x:v>
      </x:c>
      <x:c r="L8" s="57" t="b">
        <x:v>0</x:v>
      </x:c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7" t="str">
        <x:v>ac96e6d4db507a1a</x:v>
      </x:c>
      <x:c r="B9" s="47" t="str">
        <x:v>MARKET_ECOLOGY_TRANSITION</x:v>
      </x:c>
      <x:c r="C9" s="47" t="n">
        <x:v>30</x:v>
      </x:c>
      <x:c r="D9" s="47" t="n">
        <x:v>362</x:v>
      </x:c>
      <x:c r="E9" s="56" t="n">
        <x:v>0.00008799136184574753</x:v>
      </x:c>
      <x:c r="F9" s="56" t="n">
        <x:v>0.00008799136184574753</x:v>
      </x:c>
      <x:c r="G9" s="47" t="str">
        <x:v>direction</x:v>
      </x:c>
      <x:c r="H9" s="47" t="str">
        <x:v>compressed</x:v>
      </x:c>
      <x:c r="I9" s="47" t="str">
        <x:v>C_TRACE_INCREMENT</x:v>
      </x:c>
      <x:c r="J9" s="47" t="str">
        <x:v>ARCHIVE_AND_FIXED_CONTROL_ONLY</x:v>
      </x:c>
      <x:c r="K9" s="47" t="n">
        <x:v>0</x:v>
      </x:c>
      <x:c r="L9" s="57" t="b">
        <x:v>0</x:v>
      </x:c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7" t="str">
        <x:v>b22d9565d0b39241</x:v>
      </x:c>
      <x:c r="B10" s="47" t="str">
        <x:v>HOTNESS_CHANGE</x:v>
      </x:c>
      <x:c r="C10" s="47" t="n">
        <x:v>30</x:v>
      </x:c>
      <x:c r="D10" s="47" t="n">
        <x:v>590</x:v>
      </x:c>
      <x:c r="E10" s="56" t="n">
        <x:v>0.0010278372486246</x:v>
      </x:c>
      <x:c r="F10" s="56" t="n">
        <x:v>0.0015122481436246</x:v>
      </x:c>
      <x:c r="G10" s="47" t="str">
        <x:v>intensity</x:v>
      </x:c>
      <x:c r="H10" s="47" t="str">
        <x:v>compressed</x:v>
      </x:c>
      <x:c r="I10" s="47" t="str">
        <x:v>A_ORDER_OF_MAGNITUDE_PRIORITY</x:v>
      </x:c>
      <x:c r="J10" s="47" t="str">
        <x:v>FULL_SHARD_CALIBRATION_PRIMARY_ROOT</x:v>
      </x:c>
      <x:c r="K10" s="47" t="n">
        <x:v>2</x:v>
      </x:c>
      <x:c r="L10" s="57" t="b">
        <x:v>0</x:v>
      </x:c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7" t="str">
        <x:v>cf70889cec0c77df</x:v>
      </x:c>
      <x:c r="B11" s="47" t="str">
        <x:v>BILLBOARD_CHANGE</x:v>
      </x:c>
      <x:c r="C11" s="47" t="n">
        <x:v>5</x:v>
      </x:c>
      <x:c r="D11" s="47" t="n">
        <x:v>1837</x:v>
      </x:c>
      <x:c r="E11" s="56" t="n">
        <x:v>0.0005072080242497</x:v>
      </x:c>
      <x:c r="F11" s="56" t="n">
        <x:v>0.0007501960954532</x:v>
      </x:c>
      <x:c r="G11" s="47" t="str">
        <x:v>intensity</x:v>
      </x:c>
      <x:c r="H11" s="47" t="str">
        <x:v>compressed</x:v>
      </x:c>
      <x:c r="I11" s="47" t="str">
        <x:v>B_MODERATE_EXPLORATORY</x:v>
      </x:c>
      <x:c r="J11" s="47" t="str">
        <x:v>FULL_SHARD_CALIBRATION_EXPLORATORY_ROOT</x:v>
      </x:c>
      <x:c r="K11" s="47" t="n">
        <x:v>1</x:v>
      </x:c>
      <x:c r="L11" s="57" t="b">
        <x:v>0</x:v>
      </x:c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7" t="str">
        <x:v>d42c0973350238e0</x:v>
      </x:c>
      <x:c r="B12" s="47" t="str">
        <x:v>MARKET_ECOLOGY_TRANSITION</x:v>
      </x:c>
      <x:c r="C12" s="47" t="n">
        <x:v>30</x:v>
      </x:c>
      <x:c r="D12" s="47" t="n">
        <x:v>362</x:v>
      </x:c>
      <x:c r="E12" s="56" t="n">
        <x:v>0.0075498535843514</x:v>
      </x:c>
      <x:c r="F12" s="56" t="n">
        <x:v>0.0096434490213426</x:v>
      </x:c>
      <x:c r="G12" s="47" t="str">
        <x:v>pre15_interaction</x:v>
      </x:c>
      <x:c r="H12" s="47" t="str">
        <x:v>raw</x:v>
      </x:c>
      <x:c r="I12" s="47" t="str">
        <x:v>A_ORDER_OF_MAGNITUDE_PRIORITY</x:v>
      </x:c>
      <x:c r="J12" s="47" t="str">
        <x:v>FULL_SHARD_CALIBRATION_PRIMARY_ROOT</x:v>
      </x:c>
      <x:c r="K12" s="47" t="n">
        <x:v>2</x:v>
      </x:c>
      <x:c r="L12" s="57" t="b">
        <x:v>0</x:v>
      </x:c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pageMargins left="0.7" right="0.7" top="0.75" bottom="0.75" header="0.3" footer="0.3"/>
  <x:tableParts count="1">
    <x:tablePart xmlns:r="http://schemas.openxmlformats.org/officeDocument/2006/relationships" r:id="R5981b8b2f96247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34" hidden="0" customWidth="1"/>
    <x:col min="4" max="4" width="34" hidden="0" customWidth="1"/>
  </x:cols>
  <x:sheetData>
    <x:row r="1">
      <x:c r="A1" s="44" t="str">
        <x:v>Gate</x:v>
      </x:c>
      <x:c r="B1" s="44" t="str">
        <x:v>Pass conditions</x:v>
      </x:c>
      <x:c r="C1" s="44" t="str">
        <x:v>Failure status</x:v>
      </x:c>
      <x:c r="D1" s="44" t="str">
        <x:v>Execution</x:v>
      </x:c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7" t="str">
        <x:v>G0_AUTHORITY_AND_IDENTITY</x:v>
      </x:c>
      <x:c r="B2" s="47" t="str">
        <x:v>• single capability registry version frozen
• all candidate-visible fields have stable field IDs
• Codex fundamental source universe joined without ambiguous aliases</x:v>
      </x:c>
      <x:c r="C2" s="47" t="str">
        <x:v>SEMANTICS_UNRESOLVED</x:v>
      </x:c>
      <x:c r="D2" s="47" t="str">
        <x:v>AUTOMATIC_FAIL_CLOSED</x:v>
      </x:c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47" t="str">
        <x:v>G1_SEMANTICS_AND_PIT</x:v>
      </x:c>
      <x:c r="B3" s="47" t="str">
        <x:v>• entity scope, temporal semantics and routes explicitly registered
• observable, maturity, source-lag and revision policies pass tests
• unresolved data families are isolated and blocked</x:v>
      </x:c>
      <x:c r="C3" s="47" t="str">
        <x:v>PIT_UNQUALIFIED</x:v>
      </x:c>
      <x:c r="D3" s="47" t="str">
        <x:v>AUTOMATIC_FAIL_CLOSED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7" t="str">
        <x:v>G2_TYPED_WIRING</x:v>
      </x:c>
      <x:c r="B4" s="47" t="str">
        <x:v>• generators query registry rather than hard-coded field arrays
• typed route compiler rejects illegal operator-field combinations
• state expressions consume the state fields they claim to test</x:v>
      </x:c>
      <x:c r="C4" s="47" t="str">
        <x:v>NOT_WIRED</x:v>
      </x:c>
      <x:c r="D4" s="47" t="str">
        <x:v>AUTOMATIC_FAIL_CLOSED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7" t="str">
        <x:v>G3_EXPOSURE_AND_BUDGET</x:v>
      </x:c>
      <x:c r="B5" s="47" t="str">
        <x:v>• every enabled route has non-zero frozen proposal/admission/strict budgets
• exposure ledger is emitted during dry generation
• exact identity dedup occurs before quota accounting</x:v>
      </x:c>
      <x:c r="C5" s="47" t="str">
        <x:v>NOT_EVALUATED</x:v>
      </x:c>
      <x:c r="D5" s="47" t="str">
        <x:v>AUTOMATIC_FAIL_CLOSED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7" t="str">
        <x:v>G4_MATCHED_CONTROLS</x:v>
      </x:c>
      <x:c r="B6" s="47" t="str">
        <x:v>• every candidate class has constructible matched controls
• episode and regime routes use correct support units
• one episode or market block cannot cast repeated stock-minute votes</x:v>
      </x:c>
      <x:c r="C6" s="47" t="str">
        <x:v>CONTROL_CONTRACT_INVALID</x:v>
      </x:c>
      <x:c r="D6" s="47" t="str">
        <x:v>AUTOMATIC_FAIL_CLOSED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7" t="str">
        <x:v>G5_ACCESS_AND_REPRODUCIBILITY</x:v>
      </x:c>
      <x:c r="B7" s="47" t="str">
        <x:v>• development-only physical release and hashes frozen
• forbidden read counters are zero in smoke execution
• registry, compiler, generator and ledger hashes recorded</x:v>
      </x:c>
      <x:c r="C7" s="47" t="str">
        <x:v>ACCESS_OR_REPRODUCIBILITY_BLOCKED</x:v>
      </x:c>
      <x:c r="D7" s="47" t="str">
        <x:v>AUTOMATIC_FAIL_CLOSED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pageMargins left="0.7" right="0.7" top="0.75" bottom="0.75" header="0.3" footer="0.3"/>
  <x:tableParts count="1">
    <x:tablePart xmlns:r="http://schemas.openxmlformats.org/officeDocument/2006/relationships" r:id="R2ef5fb2c7975415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.5" hidden="0" customWidth="1"/>
    <x:col min="3" max="3" width="14.380000114440918" hidden="0" customWidth="1"/>
    <x:col min="4" max="4" width="13.5" hidden="0" customWidth="1"/>
  </x:cols>
  <x:sheetData>
    <x:row r="1">
      <x:c r="A1" s="44" t="str">
        <x:v>Source family</x:v>
      </x:c>
      <x:c r="B1" s="44" t="str">
        <x:v>Fields</x:v>
      </x:c>
      <x:c r="C1" s="44" t="str">
        <x:v>Direct exposed</x:v>
      </x:c>
      <x:c r="D1" s="44" t="str">
        <x:v>Exposure rate</x:v>
      </x:c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 t="str">
        <x:v>billboard</x:v>
      </x:c>
      <x:c r="B2" s="43" t="n">
        <x:v>13</x:v>
      </x:c>
      <x:c r="C2" s="43" t="n">
        <x:v>1</x:v>
      </x:c>
      <x:c r="D2" s="60" t="n">
        <x:v>0.07692307692307693</x:v>
      </x:c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43" t="str">
        <x:v>holder_structure</x:v>
      </x:c>
      <x:c r="B3" s="43" t="n">
        <x:v>5</x:v>
      </x:c>
      <x:c r="C3" s="43" t="n">
        <x:v>1</x:v>
      </x:c>
      <x:c r="D3" s="60" t="n">
        <x:v>0.2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3" t="str">
        <x:v>hotness</x:v>
      </x:c>
      <x:c r="B4" s="43" t="n">
        <x:v>5</x:v>
      </x:c>
      <x:c r="C4" s="43" t="n">
        <x:v>2</x:v>
      </x:c>
      <x:c r="D4" s="60" t="n">
        <x:v>0.4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3" t="str">
        <x:v>margin_financing</x:v>
      </x:c>
      <x:c r="B5" s="43" t="n">
        <x:v>8</x:v>
      </x:c>
      <x:c r="C5" s="43" t="n">
        <x:v>2</x:v>
      </x:c>
      <x:c r="D5" s="60" t="n">
        <x:v>0.25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3" t="str">
        <x:v>market_ecology</x:v>
      </x:c>
      <x:c r="B6" s="43" t="n">
        <x:v>4</x:v>
      </x:c>
      <x:c r="C6" s="43" t="n">
        <x:v>0</x:v>
      </x:c>
      <x:c r="D6" s="60" t="n">
        <x:v>0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3" t="str">
        <x:v>market_sentiment</x:v>
      </x:c>
      <x:c r="B7" s="43" t="n">
        <x:v>15</x:v>
      </x:c>
      <x:c r="C7" s="43" t="n">
        <x:v>0</x:v>
      </x:c>
      <x:c r="D7" s="60" t="n">
        <x:v>0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3" t="str">
        <x:v>valuation_market_state</x:v>
      </x:c>
      <x:c r="B8" s="43" t="n">
        <x:v>9</x:v>
      </x:c>
      <x:c r="C8" s="43" t="n">
        <x:v>6</x:v>
      </x:c>
      <x:c r="D8" s="60" t="n">
        <x:v>0.6666666666666666</x:v>
      </x:c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pageMargins left="0.7" right="0.7" top="0.75" bottom="0.75" header="0.3" footer="0.3"/>
  <x:drawing xmlns:r="http://schemas.openxmlformats.org/officeDocument/2006/relationships" r:id="R93da3e53ed7142a8"/>
  <x:tableParts count="1">
    <x:tablePart xmlns:r="http://schemas.openxmlformats.org/officeDocument/2006/relationships" r:id="R918911552323428d"/>
  </x:tableParts>
</x:worksheet>
</file>